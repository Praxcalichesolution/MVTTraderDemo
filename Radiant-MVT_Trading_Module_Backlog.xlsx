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CKLOG" sheetId="2" state="visible" r:id="rId4"/>
    <sheet name="PHASES" sheetId="3" state="visible" r:id="rId5"/>
    <sheet name="BY LAYER" sheetId="4" state="visible" r:id="rId6"/>
    <sheet name="DASHBOARD" sheetId="5" state="visible" r:id="rId7"/>
  </sheets>
  <definedNames>
    <definedName function="false" hidden="true" localSheetId="1" name="_xlnm._FilterDatabase" vbProcedure="false">BACKLOG!$A$3:$M$48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<sst xmlns="http://schemas.openxmlformats.org/spreadsheetml/2006/main" count="664" uniqueCount="325">
  <si>
    <t xml:space="preserve">  RADIANT-MVT™ TRADING MODULE  |  DEVELOPMENT BACKLOG</t>
  </si>
  <si>
    <t xml:space="preserve">Source: AI Trading Intelligence Blueprint for INEOS (Caliche Energy Solutions, May 2026)</t>
  </si>
  <si>
    <t xml:space="preserve">PURPOSE</t>
  </si>
  <si>
    <t xml:space="preserve">This workbook translates the INEOS Trading AI deck into a prioritized engineering backlog the Caliche dev team</t>
  </si>
  <si>
    <t xml:space="preserve">can execute against. 45 epics across 5 architecture layers and 5 delivery phases. Built to map directly to the</t>
  </si>
  <si>
    <t xml:space="preserve">deck's 5-layer AI Orchestration framework and the 90-day pilot path with INEOS Trading &amp; Shipping.</t>
  </si>
  <si>
    <t xml:space="preserve">HOW TO USE</t>
  </si>
  <si>
    <t xml:space="preserve">  •  BACKLOG tab  —  Full prioritized epic list — filter, sort, assign owners, paste into Jira. Each row is one epic.</t>
  </si>
  <si>
    <t xml:space="preserve">  •  PHASES tab  —  Phase-by-phase rollup showing what ships when, with the day-range and a summary deliverable.</t>
  </si>
  <si>
    <t xml:space="preserve">  •  BY LAYER tab  —  Architecture-layer rollup — Layer 1 through Layer 5 + cross-cutting platform work.</t>
  </si>
  <si>
    <t xml:space="preserve">  •  DASHBOARD tab  —  Live counts by priority, phase, layer, workstream. Auto-updates as Status column changes.</t>
  </si>
  <si>
    <t xml:space="preserve">CONVENTIONS</t>
  </si>
  <si>
    <t xml:space="preserve">  •  Priority:  P0 = critical / blocking · P1 = high · P2 = medium · P3 = nice-to-have</t>
  </si>
  <si>
    <t xml:space="preserve">  •  Phase:  1 - Foundation (days 1-30) · 2 - Pilot (31-60) · 3 - Scale (61-90) · 4 - Harden (91-180) · 5 - Expansion (180+)</t>
  </si>
  <si>
    <t xml:space="preserve">  •  Layer:  L1 Data Collection · L2 Data Lake · L3 Analytics Engine · L4 AI/ML Models · L5 BI · X Cross-Cutting</t>
  </si>
  <si>
    <t xml:space="preserve">  •  Effort:  S = ~1 week · M = 2-4 weeks · L = 1-2 months · XL = 2-3 months (one team, full-time)</t>
  </si>
  <si>
    <t xml:space="preserve">  •  Status:  Backlog · In Progress · In Review · Done · Blocked</t>
  </si>
  <si>
    <t xml:space="preserve">  •  ID format:  RMVT-T-NNN  (Radiant-MVT Trading, sequential)</t>
  </si>
  <si>
    <t xml:space="preserve">AT A GLANCE</t>
  </si>
  <si>
    <t xml:space="preserve">  •  Total epics</t>
  </si>
  <si>
    <t xml:space="preserve">  •  P0 (critical)</t>
  </si>
  <si>
    <t xml:space="preserve">  •  P1 (high)</t>
  </si>
  <si>
    <t xml:space="preserve">  •  P2 (medium)</t>
  </si>
  <si>
    <t xml:space="preserve">  •  P3 (low)</t>
  </si>
  <si>
    <t xml:space="preserve">  •  Phase 1 (days 1-30)</t>
  </si>
  <si>
    <t xml:space="preserve">  •  Phase 2 (days 31-60)</t>
  </si>
  <si>
    <t xml:space="preserve">  •  Phase 3 (days 61-90)</t>
  </si>
  <si>
    <t xml:space="preserve">  •  Phase 4 (days 91-180)</t>
  </si>
  <si>
    <t xml:space="preserve">  •  Phase 5 (180+)</t>
  </si>
  <si>
    <t xml:space="preserve">  CALICHE ENERGY SOLUTIONS  ·  RADIANT-MVT™ TRADING MODULE  ·  www.calichesolutions.com</t>
  </si>
  <si>
    <t xml:space="preserve">  RADIANT-MVT™ TRADING MODULE  ·  BACKLOG</t>
  </si>
  <si>
    <t xml:space="preserve">ID</t>
  </si>
  <si>
    <t xml:space="preserve">Priority</t>
  </si>
  <si>
    <t xml:space="preserve">Phase</t>
  </si>
  <si>
    <t xml:space="preserve">Layer</t>
  </si>
  <si>
    <t xml:space="preserve">Workstream</t>
  </si>
  <si>
    <t xml:space="preserve">Epic</t>
  </si>
  <si>
    <t xml:space="preserve">Description</t>
  </si>
  <si>
    <t xml:space="preserve">Acceptance Criteria</t>
  </si>
  <si>
    <t xml:space="preserve">Effort</t>
  </si>
  <si>
    <t xml:space="preserve">Dependencies</t>
  </si>
  <si>
    <t xml:space="preserve">Status</t>
  </si>
  <si>
    <t xml:space="preserve">Owner</t>
  </si>
  <si>
    <t xml:space="preserve">Notes</t>
  </si>
  <si>
    <t xml:space="preserve">RMVT-T-001</t>
  </si>
  <si>
    <t xml:space="preserve">P0</t>
  </si>
  <si>
    <t xml:space="preserve">1 - Foundation</t>
  </si>
  <si>
    <t xml:space="preserve">X - Cross-Cutting</t>
  </si>
  <si>
    <t xml:space="preserve">Platform/Infra</t>
  </si>
  <si>
    <t xml:space="preserve">Trading-Module API Gateway</t>
  </si>
  <si>
    <t xml:space="preserve">Stand up the trading-module API surface: auth, rate limiting, tenant routing, request/response logging. All trading-module services consumed via this gateway.</t>
  </si>
  <si>
    <t xml:space="preserve">OAuth2 + service-account auth working; per-tenant rate limits enforced; 99.95% uptime in load test; OpenAPI spec published.</t>
  </si>
  <si>
    <t xml:space="preserve">L</t>
  </si>
  <si>
    <t xml:space="preserve">—</t>
  </si>
  <si>
    <t xml:space="preserve">Backlog</t>
  </si>
  <si>
    <t xml:space="preserve">RMVT-T-002</t>
  </si>
  <si>
    <t xml:space="preserve">Multi-Tenant Data Isolation for Trading Workspaces</t>
  </si>
  <si>
    <t xml:space="preserve">Trading data is highly sensitive. Build hard tenant boundaries (row-level + storage-level) so one trading-floor's data is never queryable by another.</t>
  </si>
  <si>
    <t xml:space="preserve">Per-tenant encryption keys; row-level security tested by red-team; audit log of every cross-boundary attempt.</t>
  </si>
  <si>
    <t xml:space="preserve">RMVT-T-003</t>
  </si>
  <si>
    <t xml:space="preserve">TagTrack™ Extension for Trading Instruments</t>
  </si>
  <si>
    <t xml:space="preserve">Extend molecular tagging from physical commodities to financial instruments: every paper trade, futures contract, swap, and option receives an immutable Radiant-MVT ID linked to its physical-equivalent molecules.</t>
  </si>
  <si>
    <t xml:space="preserve">Every trade booked in pilot has a TagTrack ID; ID survives amendments/novations; chain-of-custody trace from physical lift to paper hedge passes audit.</t>
  </si>
  <si>
    <t xml:space="preserve">XL</t>
  </si>
  <si>
    <t xml:space="preserve">RMVT-T-004</t>
  </si>
  <si>
    <t xml:space="preserve">Audit Trail &amp; Lineage Framework</t>
  </si>
  <si>
    <t xml:space="preserve">Immutable, append-only audit log for every read/write/calc on trading data. Required for Dodd-Frank, EMIR, REMIT compliance.</t>
  </si>
  <si>
    <t xml:space="preserve">Every position change traceable to its origin tick; auditor can replay any P&amp;L number from raw inputs; tamper-evident hashes verified.</t>
  </si>
  <si>
    <t xml:space="preserve">RMVT-T-005</t>
  </si>
  <si>
    <t xml:space="preserve">L1 - Data Collection</t>
  </si>
  <si>
    <t xml:space="preserve">Connectors</t>
  </si>
  <si>
    <t xml:space="preserve">RightAngle Position &amp; Trade Connector</t>
  </si>
  <si>
    <t xml:space="preserve">Real-time pull of positions, trades, amendments, and physical schedules from ION RightAngle. Leverage Caliche's founding-era RightAngle knowledge.</t>
  </si>
  <si>
    <t xml:space="preserve">Live trade feed &lt;2s latency; handles novations/amendments idempotently; reconciles to RightAngle's own EOD reports at 99.5%+.</t>
  </si>
  <si>
    <t xml:space="preserve">RMVT-T-006</t>
  </si>
  <si>
    <t xml:space="preserve">Platts &amp; Argus Market Data Connector</t>
  </si>
  <si>
    <t xml:space="preserve">Pricing curves, indices, settlements from Platts and Argus. Includes historical backfill and intraday updates.</t>
  </si>
  <si>
    <t xml:space="preserve">All commodity curves used by pilot book ingested; intraday refresh on settlement events; 10-year historical backfill complete.</t>
  </si>
  <si>
    <t xml:space="preserve">M</t>
  </si>
  <si>
    <t xml:space="preserve">RMVT-T-007</t>
  </si>
  <si>
    <t xml:space="preserve">L2 - Data Lake</t>
  </si>
  <si>
    <t xml:space="preserve">Data Platform</t>
  </si>
  <si>
    <t xml:space="preserve">Time-Series Store for Curves, Vols &amp; Settlements</t>
  </si>
  <si>
    <t xml:space="preserve">Purpose-built TSDB for trading market data — fast slice by tenor, basis, region, commodity, vol point.</t>
  </si>
  <si>
    <t xml:space="preserve">1B+ data points indexed; sub-100ms range queries; supports versioned curves (rebuilt vs. original).</t>
  </si>
  <si>
    <t xml:space="preserve">RMVT-T-008</t>
  </si>
  <si>
    <t xml:space="preserve">Trade Blotter Store with Full Lineage</t>
  </si>
  <si>
    <t xml:space="preserve">Every trade — booking, amendment, novation, termination — stored as an immutable event log with state-rebuild capability.</t>
  </si>
  <si>
    <t xml:space="preserve">Any historical position state reconstructible from event log; amendments traceable to user, system, timestamp; complete trade lifecycle queryable.</t>
  </si>
  <si>
    <t xml:space="preserve">RMVT-T-009</t>
  </si>
  <si>
    <t xml:space="preserve">Position History Store with Molecule Indexing</t>
  </si>
  <si>
    <t xml:space="preserve">Position snapshots keyed by TagTrack ID — every physical, paper, and exchange position queryable down to the molecule.</t>
  </si>
  <si>
    <t xml:space="preserve">Position-by-molecule queries return &lt;500ms; reconciles to ETRM EOD; integrates with TagTrack lineage.</t>
  </si>
  <si>
    <t xml:space="preserve">RMVT-T-003, RMVT-T-008</t>
  </si>
  <si>
    <t xml:space="preserve">RMVT-T-010</t>
  </si>
  <si>
    <t xml:space="preserve">2 - Pilot</t>
  </si>
  <si>
    <t xml:space="preserve">L3 - Analytics Engine</t>
  </si>
  <si>
    <t xml:space="preserve">Analytics</t>
  </si>
  <si>
    <t xml:space="preserve">Real-Time P&amp;L Engine (Pilot Book)</t>
  </si>
  <si>
    <t xml:space="preserve">Intraday MTM and P&amp;L attribution for the pilot commodity book — by trader, lane, molecule, strategy.</t>
  </si>
  <si>
    <t xml:space="preserve">P&amp;L refresh &lt;5s on market data tick; attribution sums to total; matches T+1 settlement P&amp;L within tolerance.</t>
  </si>
  <si>
    <t xml:space="preserve">RMVT-T-007, RMVT-T-009</t>
  </si>
  <si>
    <t xml:space="preserve">RMVT-T-011</t>
  </si>
  <si>
    <t xml:space="preserve">Position Aggregation Service</t>
  </si>
  <si>
    <t xml:space="preserve">Consolidate physical + paper + exchange positions into a single net view per commodity, region, tenor.</t>
  </si>
  <si>
    <t xml:space="preserve">Net position matches sum of constituents; handles cross-commodity offsets; updates within 5s of trade booking.</t>
  </si>
  <si>
    <t xml:space="preserve">RMVT-T-005, RMVT-T-009</t>
  </si>
  <si>
    <t xml:space="preserve">RMVT-T-012</t>
  </si>
  <si>
    <t xml:space="preserve">Physical-to-Financial Reconciliation Engine</t>
  </si>
  <si>
    <t xml:space="preserve">Real-time reconciliation between physical operations data (lifts, transfers, inventory) and financial system positions — the core trust layer.</t>
  </si>
  <si>
    <t xml:space="preserve">98.5%+ auto-match rate; exceptions surfaced with root-cause hints; replaces the T+1 spreadsheet reconciliation process.</t>
  </si>
  <si>
    <t xml:space="preserve">RMVT-T-009, RMVT-T-011</t>
  </si>
  <si>
    <t xml:space="preserve">RMVT-T-013</t>
  </si>
  <si>
    <t xml:space="preserve">P1</t>
  </si>
  <si>
    <t xml:space="preserve">L4 - AI/ML Models</t>
  </si>
  <si>
    <t xml:space="preserve">ML Models</t>
  </si>
  <si>
    <t xml:space="preserve">Optimal Hedging Recommendation Model (First AI Use Case)</t>
  </si>
  <si>
    <t xml:space="preserve">First production AI model — recommends hedge structures against physical length on pilot book. Trained on Radiant-MVT-reconciled data with full lineage.</t>
  </si>
  <si>
    <t xml:space="preserve">Backtested vs. desk decisions on 12-mo history; explainability output for every recommendation; trader-in-the-loop approval workflow.</t>
  </si>
  <si>
    <t xml:space="preserve">RMVT-T-010, RMVT-T-011</t>
  </si>
  <si>
    <t xml:space="preserve">RMVT-T-014</t>
  </si>
  <si>
    <t xml:space="preserve">Model Lineage &amp; Explainability Framework</t>
  </si>
  <si>
    <t xml:space="preserve">Cross-cutting capability — every AI output traceable to its inputs, model version, training data snapshot. Required for trader trust and audit.</t>
  </si>
  <si>
    <t xml:space="preserve">SHAP/LIME outputs for every model; model registry tracks version-to-prediction linkage; auditor can reproduce any historical prediction.</t>
  </si>
  <si>
    <t xml:space="preserve">RMVT-T-004, RMVT-T-013</t>
  </si>
  <si>
    <t xml:space="preserve">RMVT-T-015</t>
  </si>
  <si>
    <t xml:space="preserve">L5 - Business Intelligence</t>
  </si>
  <si>
    <t xml:space="preserve">UX</t>
  </si>
  <si>
    <t xml:space="preserve">Trader Desk Dashboard v1</t>
  </si>
  <si>
    <t xml:space="preserve">Live P&amp;L, position heat-map, AI hedge recommendations, exposure-by-molecule. Designed for trader-speed decisions, not after-hours review.</t>
  </si>
  <si>
    <t xml:space="preserve">Loads &lt;2s; updates real-time on tick; pilot traders complete 5 standard workflows in &lt;30s each.</t>
  </si>
  <si>
    <t xml:space="preserve">RMVT-T-010, RMVT-T-013</t>
  </si>
  <si>
    <t xml:space="preserve">RMVT-T-016</t>
  </si>
  <si>
    <t xml:space="preserve">Pre-Trade Margin &amp; Credit Check UI</t>
  </si>
  <si>
    <t xml:space="preserve">Before-the-click margin requirement, counterparty exposure check, and credit-line availability — surfaced inline at trade entry.</t>
  </si>
  <si>
    <t xml:space="preserve">Check completes &lt;1s; integrates with counterparty master; blocks trades exceeding limits with override workflow.</t>
  </si>
  <si>
    <t xml:space="preserve">RMVT-T-017</t>
  </si>
  <si>
    <t xml:space="preserve">3 - Scale</t>
  </si>
  <si>
    <t xml:space="preserve">Endur Position &amp; Trade Connector</t>
  </si>
  <si>
    <t xml:space="preserve">Extend ETRM connector framework to OpenLink Endur — same lineage and event-log semantics as RightAngle connector.</t>
  </si>
  <si>
    <t xml:space="preserve">Feature-parity with RightAngle connector; cross-ETRM trade dedup logic verified on test cases.</t>
  </si>
  <si>
    <t xml:space="preserve">RMVT-T-018</t>
  </si>
  <si>
    <t xml:space="preserve">Allegro Position &amp; Trade Connector</t>
  </si>
  <si>
    <t xml:space="preserve">Extend ETRM connector framework to Allegro — same lineage and event-log semantics.</t>
  </si>
  <si>
    <t xml:space="preserve">Feature-parity with RightAngle connector; tested against Allegro 8.x and 9.x.</t>
  </si>
  <si>
    <t xml:space="preserve">RMVT-T-019</t>
  </si>
  <si>
    <t xml:space="preserve">ICE &amp; NYMEX Direct Exchange Connector</t>
  </si>
  <si>
    <t xml:space="preserve">FIX-protocol direct exchange connectivity for executed trades, drop-copy, and clearing.</t>
  </si>
  <si>
    <t xml:space="preserve">FIX 4.4/5.0 certified; drop-copy reconciles to clearing statement; sub-second trade capture.</t>
  </si>
  <si>
    <t xml:space="preserve">RMVT-T-020</t>
  </si>
  <si>
    <t xml:space="preserve">Bloomberg Market Data Connector</t>
  </si>
  <si>
    <t xml:space="preserve">Bloomberg B-PIPE / Server API integration — pricing, curves, vol surfaces, news headers.</t>
  </si>
  <si>
    <t xml:space="preserve">B-PIPE feed live; entitlement compliance verified; supports Bloomberg formula library for custom curves.</t>
  </si>
  <si>
    <t xml:space="preserve">RMVT-T-021</t>
  </si>
  <si>
    <t xml:space="preserve">VaR Engine (Parametric + Historical Simulation)</t>
  </si>
  <si>
    <t xml:space="preserve">Two VaR methodologies live, configurable per book. Foundation for stress testing and middle-office risk reporting.</t>
  </si>
  <si>
    <t xml:space="preserve">Daily VaR matches backtest within tolerance; supports 1d/10d horizons; configurable confidence intervals.</t>
  </si>
  <si>
    <t xml:space="preserve">RMVT-T-022</t>
  </si>
  <si>
    <t xml:space="preserve">Curve Construction Service</t>
  </si>
  <si>
    <t xml:space="preserve">Smoothed forwards, basis differentials, vol surfaces — built from market data, model-ready for downstream AI.</t>
  </si>
  <si>
    <t xml:space="preserve">Curves rebuild on settlement events &lt;30s; matches reference curves within tolerance; available via API for ML training.</t>
  </si>
  <si>
    <t xml:space="preserve">RMVT-T-023</t>
  </si>
  <si>
    <t xml:space="preserve">Anomaly Detection — Fat-Finger &amp; Rogue Trade Surveillance</t>
  </si>
  <si>
    <t xml:space="preserve">ML model flags suspicious entries pre- and post-trade: fat-finger size, unusual P&amp;L moves, off-market prices, rogue patterns.</t>
  </si>
  <si>
    <t xml:space="preserve">False-positive rate &lt;5% on backtest; surfaces 100% of seeded test anomalies; alerts route to surveillance dashboard.</t>
  </si>
  <si>
    <t xml:space="preserve">RMVT-T-010, RMVT-T-014</t>
  </si>
  <si>
    <t xml:space="preserve">RMVT-T-024</t>
  </si>
  <si>
    <t xml:space="preserve">Middle Office &amp; Risk Dashboard</t>
  </si>
  <si>
    <t xml:space="preserve">Real-time VaR, counterparty exposure, limit breaches, anomaly alerts, audit lineage views.</t>
  </si>
  <si>
    <t xml:space="preserve">Risk team completes 5 standard workflows; alert escalation tested; limit breach drill-down to trade level.</t>
  </si>
  <si>
    <t xml:space="preserve">RMVT-T-021, RMVT-T-023</t>
  </si>
  <si>
    <t xml:space="preserve">RMVT-T-025</t>
  </si>
  <si>
    <t xml:space="preserve">Contract &amp; Confirmation Corpus + Vectorization</t>
  </si>
  <si>
    <t xml:space="preserve">Every trade confirmation, ISDA, master agreement ingested, parsed, and embedded for retrieval by the GenAI Copilot.</t>
  </si>
  <si>
    <t xml:space="preserve">100% of pilot-book contracts indexed; semantic search returns relevant clauses; supports natural-language queries.</t>
  </si>
  <si>
    <t xml:space="preserve">RMVT-T-026</t>
  </si>
  <si>
    <t xml:space="preserve">GenAI Trade Copilot v1 (RAG)</t>
  </si>
  <si>
    <t xml:space="preserve">Natural-language interface over positions, contracts, market data — 'what's my exposure if Urals widens 50¢' returns an answer with citations.</t>
  </si>
  <si>
    <t xml:space="preserve">Answers cite source data; latency &lt;5s for common queries; hallucination rate &lt;2% on eval set.</t>
  </si>
  <si>
    <t xml:space="preserve">RMVT-T-025, RMVT-T-014</t>
  </si>
  <si>
    <t xml:space="preserve">RMVT-T-027</t>
  </si>
  <si>
    <t xml:space="preserve">P2</t>
  </si>
  <si>
    <t xml:space="preserve">4 - Harden</t>
  </si>
  <si>
    <t xml:space="preserve">Monte Carlo VaR &amp; Stress Testing Framework</t>
  </si>
  <si>
    <t xml:space="preserve">Add Monte Carlo VaR alongside parametric/historical. Configurable stress scenarios (historical event replay, hypothetical shocks).</t>
  </si>
  <si>
    <t xml:space="preserve">MC VaR converges in &lt;60s for pilot books; canned scenarios (2008, 2014 oil crash, 2020 COVID, 2022 Russia) ship with system.</t>
  </si>
  <si>
    <t xml:space="preserve">RMVT-T-028</t>
  </si>
  <si>
    <t xml:space="preserve">Greeks Calculator (Delta / Gamma / Vega / Theta)</t>
  </si>
  <si>
    <t xml:space="preserve">Option Greeks on demand for the desk — vanilla, average-price, and spread structures.</t>
  </si>
  <si>
    <t xml:space="preserve">Greeks match analytical benchmark for vanilla options; AAD/finite-difference for path-dependent; available via API and dashboard.</t>
  </si>
  <si>
    <t xml:space="preserve">RMVT-T-029</t>
  </si>
  <si>
    <t xml:space="preserve">Settlement Engine — Lifts, Invoicing, Demurrage, FX</t>
  </si>
  <si>
    <t xml:space="preserve">Physical lift reconciliation, invoice generation, demurrage tracking, FX settlement — all tied to TagTrack lineage.</t>
  </si>
  <si>
    <t xml:space="preserve">Auto-generates invoices from physical lift events; demurrage clock auto-starts/stops; FX settlement matches treasury reports.</t>
  </si>
  <si>
    <t xml:space="preserve">RMVT-T-009, RMVT-T-012</t>
  </si>
  <si>
    <t xml:space="preserve">RMVT-T-030</t>
  </si>
  <si>
    <t xml:space="preserve">Regulatory Reporting — Dodd-Frank, EMIR, REMIT</t>
  </si>
  <si>
    <t xml:space="preserve">Auto-generated reporting from immutable trade lineage. Replaces weeks of manual prep with continuous export.</t>
  </si>
  <si>
    <t xml:space="preserve">Reports validate against current regulator schemas; 75% reduction in compliance team prep time vs. baseline.</t>
  </si>
  <si>
    <t xml:space="preserve">RMVT-T-004, RMVT-T-008</t>
  </si>
  <si>
    <t xml:space="preserve">RMVT-T-031</t>
  </si>
  <si>
    <t xml:space="preserve">Forecasting Models — Forward Curves, Basis, Vol</t>
  </si>
  <si>
    <t xml:space="preserve">ML-driven curve evolution and basis prediction — feeds pre-trade analytics and mark-to-model.</t>
  </si>
  <si>
    <t xml:space="preserve">Out-of-sample MAPE beats baseline persistence model by 20%+; backtested over 24mo; explainability per forecast.</t>
  </si>
  <si>
    <t xml:space="preserve">RMVT-T-032</t>
  </si>
  <si>
    <t xml:space="preserve">Trade Idea Generation Engine</t>
  </si>
  <si>
    <t xml:space="preserve">Pattern recognition over historical spreads, arbs, seasonal plays — surfaces ideas with rationale, not as black-box signals.</t>
  </si>
  <si>
    <t xml:space="preserve">Backtested PnL beats benchmark; every idea has plain-English rationale; trader feedback loop captured for retraining.</t>
  </si>
  <si>
    <t xml:space="preserve">RMVT-T-031, RMVT-T-014</t>
  </si>
  <si>
    <t xml:space="preserve">RMVT-T-033</t>
  </si>
  <si>
    <t xml:space="preserve">Counterparty Master Data Service</t>
  </si>
  <si>
    <t xml:space="preserve">Single source for legal entities, ISDAs, credit lines, settlement instructions — referenced by every other service.</t>
  </si>
  <si>
    <t xml:space="preserve">Pilot-book counterparties fully modeled; KYC/AML metadata captured; credit-line aggregation across legal entities.</t>
  </si>
  <si>
    <t xml:space="preserve">RMVT-T-034</t>
  </si>
  <si>
    <t xml:space="preserve">News &amp; Sentiment Feed Integration</t>
  </si>
  <si>
    <t xml:space="preserve">Wire services, regulatory filings, refinery/pipeline outages, OPEC actions — tagged to commodities, regions, counterparties.</t>
  </si>
  <si>
    <t xml:space="preserve">All headlines auto-tagged with commodity/region/entity in &lt;30s; deduplication across sources; sentiment score per headline.</t>
  </si>
  <si>
    <t xml:space="preserve">RMVT-T-035</t>
  </si>
  <si>
    <t xml:space="preserve">AIS / Vessel Tracking Connector</t>
  </si>
  <si>
    <t xml:space="preserve">Live AIS vessel data — origin, destination, ETA, cargo type. Feeds physical-leg tracking and logistics-optimization use cases.</t>
  </si>
  <si>
    <t xml:space="preserve">Pilot book's chartered vessels visible in real-time; ETA delta to nomination flagged; integrates with TagTrack for cargo lineage.</t>
  </si>
  <si>
    <t xml:space="preserve">RMVT-T-036</t>
  </si>
  <si>
    <t xml:space="preserve">Event &amp; Sentiment Impact Scoring Model</t>
  </si>
  <si>
    <t xml:space="preserve">News + outage events scored against the position book — early warning when exposure profile changes.</t>
  </si>
  <si>
    <t xml:space="preserve">Auto-correlates events to position deltas; precision/recall validated on historical event set; integrates with Trader Dashboard alerts.</t>
  </si>
  <si>
    <t xml:space="preserve">RMVT-T-034, RMVT-T-031</t>
  </si>
  <si>
    <t xml:space="preserve">RMVT-T-037</t>
  </si>
  <si>
    <t xml:space="preserve">C-Suite Executive Briefing (GenAI-Generated)</t>
  </si>
  <si>
    <t xml:space="preserve">Daily natural-language briefing of trading floor status, key P&amp;L drivers, top risks. Auto-generated from reconciled data.</t>
  </si>
  <si>
    <t xml:space="preserve">Briefing generated &lt;2min after EOD close; matches manual briefing on key facts; tone configurable (terse / narrative).</t>
  </si>
  <si>
    <t xml:space="preserve">RMVT-T-026, RMVT-T-010</t>
  </si>
  <si>
    <t xml:space="preserve">RMVT-T-038</t>
  </si>
  <si>
    <t xml:space="preserve">Alert Routing &amp; Escalation Engine</t>
  </si>
  <si>
    <t xml:space="preserve">Configurable alert routing — desk alerts to trader, risk breaches to CRO, regulatory exceptions to compliance.</t>
  </si>
  <si>
    <t xml:space="preserve">Routing rules configurable in UI; supports email/Slack/Symphony/MS Teams; escalation chains tested.</t>
  </si>
  <si>
    <t xml:space="preserve">RMVT-T-023, RMVT-T-024</t>
  </si>
  <si>
    <t xml:space="preserve">RMVT-T-039</t>
  </si>
  <si>
    <t xml:space="preserve">P3</t>
  </si>
  <si>
    <t xml:space="preserve">5 - Expansion</t>
  </si>
  <si>
    <t xml:space="preserve">Voice &amp; Chat Capture (Bloomberg IB, Symphony, Teams)</t>
  </si>
  <si>
    <t xml:space="preserve">Real-time capture of trader communications for compliance, idea mining, and AI copilot context.</t>
  </si>
  <si>
    <t xml:space="preserve">All channels captured to retention store; transcription within 5min; entitlements verified before storage.</t>
  </si>
  <si>
    <t xml:space="preserve">RMVT-T-040</t>
  </si>
  <si>
    <t xml:space="preserve">Voice-to-Text &amp; Transcript Vectorization</t>
  </si>
  <si>
    <t xml:space="preserve">Convert captured voice/chat to searchable, vectorized transcripts feeding GenAI Copilot and surveillance models.</t>
  </si>
  <si>
    <t xml:space="preserve">WER &lt;8% on trading-floor vocabulary; transcripts vectorized + retrievable; speaker diarization for multi-party calls.</t>
  </si>
  <si>
    <t xml:space="preserve">RMVT-T-041</t>
  </si>
  <si>
    <t xml:space="preserve">Trader Annotation &amp; Rationale Capture</t>
  </si>
  <si>
    <t xml:space="preserve">Lightweight UI for traders to log hedge intent, market view, and reasoning at trade entry — fuels future AI training.</t>
  </si>
  <si>
    <t xml:space="preserve">&lt;10s to log; annotations searchable; surfaces in P&amp;L attribution and copilot context.</t>
  </si>
  <si>
    <t xml:space="preserve">RMVT-T-042</t>
  </si>
  <si>
    <t xml:space="preserve">Model Lifecycle Management (MLOps)</t>
  </si>
  <si>
    <t xml:space="preserve">Standing capability for model retraining, A/B testing, drift detection, rollback. Required as model count grows.</t>
  </si>
  <si>
    <t xml:space="preserve">Automated retraining triggers; drift alerts on production models; one-click rollback to previous version.</t>
  </si>
  <si>
    <t xml:space="preserve">RMVT-T-043</t>
  </si>
  <si>
    <t xml:space="preserve">Regulatory &amp; ESG Reporting Dashboards</t>
  </si>
  <si>
    <t xml:space="preserve">Visualization layer over the regulatory engine — surfaces compliance status, ESG metrics for sustainable trading reporting.</t>
  </si>
  <si>
    <t xml:space="preserve">Dashboards align to current INEOS reporting cadence; supports drill-down to source trade; exports to required formats.</t>
  </si>
  <si>
    <t xml:space="preserve">RMVT-T-044</t>
  </si>
  <si>
    <t xml:space="preserve">Counterparty / Credit Signal Feeds</t>
  </si>
  <si>
    <t xml:space="preserve">External credit data: CDS spreads, ratings actions, watchlists. Feeds counterparty risk scoring.</t>
  </si>
  <si>
    <t xml:space="preserve">Credit signal updates flow into counterparty master; watchlist events surface in pre-trade check; CDS spread history charted.</t>
  </si>
  <si>
    <t xml:space="preserve">RMVT-T-045</t>
  </si>
  <si>
    <t xml:space="preserve">GenAI Trade Copilot v2 — Agentic Workflows</t>
  </si>
  <si>
    <t xml:space="preserve">Move from Q&amp;A to action — copilot proposes trade tickets, runs scenarios, drafts confirmations under human approval.</t>
  </si>
  <si>
    <t xml:space="preserve">Trader can approve/reject proposed action; full audit log of agentic actions; rate limits to prevent runaway behavior.</t>
  </si>
  <si>
    <t xml:space="preserve">RMVT-T-026, RMVT-T-042</t>
  </si>
  <si>
    <t xml:space="preserve">  PHASED ROADMAP  ·  90-DAY PILOT + BEYOND</t>
  </si>
  <si>
    <t xml:space="preserve">Window</t>
  </si>
  <si>
    <t xml:space="preserve">Epics</t>
  </si>
  <si>
    <t xml:space="preserve">Build Focus</t>
  </si>
  <si>
    <t xml:space="preserve">Outcome at Phase End</t>
  </si>
  <si>
    <t xml:space="preserve">Days 1–30</t>
  </si>
  <si>
    <t xml:space="preserve">Stand up trading-module API, multi-tenancy, TagTrack for instruments, lineage framework. Connect RightAngle + first market data. Build trade blotter + position store.</t>
  </si>
  <si>
    <t xml:space="preserve">Sandbox alive with reconciled pilot-book data flowing end-to-end. No models yet.</t>
  </si>
  <si>
    <t xml:space="preserve">Days 31–60</t>
  </si>
  <si>
    <t xml:space="preserve">Real-time P&amp;L and position aggregation for pilot book. Physical-to-financial reconciliation engine. First AI model — optimal hedging — in trader-in-the-loop production. Trader Desk Dashboard v1.</t>
  </si>
  <si>
    <t xml:space="preserve">Working AI model live for one trader. Baseline P&amp;L and risk metrics captured.</t>
  </si>
  <si>
    <t xml:space="preserve">Days 61–90</t>
  </si>
  <si>
    <t xml:space="preserve">Add Endur/Allegro/exchange connectors. VaR + curve construction. Anomaly detection model. Middle Office dashboard. Contract corpus + GenAI Copilot v1.</t>
  </si>
  <si>
    <t xml:space="preserve">Pilot book operationalized. Second book onboarded on same foundation. CoE blueprint defined.</t>
  </si>
  <si>
    <t xml:space="preserve">Days 91–180</t>
  </si>
  <si>
    <t xml:space="preserve">Monte Carlo VaR, Greeks, settlement engine, regulatory reporting. Forecasting + trade idea models. Counterparty master. News/AIS feeds. Event-impact scoring. C-suite briefing. Alert routing.</t>
  </si>
  <si>
    <t xml:space="preserve">Production-grade across front, middle, and back office. Reg reporting live. Multiple AI models in production.</t>
  </si>
  <si>
    <t xml:space="preserve">180+ days</t>
  </si>
  <si>
    <t xml:space="preserve">Voice/chat capture + transcript vectorization. Trader annotation UI. MLOps platform. Reg/ESG dashboards. Credit signal feeds. Agentic GenAI Copilot.</t>
  </si>
  <si>
    <t xml:space="preserve">Standing AI Center of Excellence. Continuous model lifecycle. Trading floor operates with AI as embedded muscle.</t>
  </si>
  <si>
    <t xml:space="preserve">  ARCHITECTURE LAYER ROLLUP</t>
  </si>
  <si>
    <t xml:space="preserve">Purpose</t>
  </si>
  <si>
    <t xml:space="preserve">Capability Set</t>
  </si>
  <si>
    <t xml:space="preserve">Capture every signal that moves the trade — market data, ETRM, vessels, counterparties, news.</t>
  </si>
  <si>
    <t xml:space="preserve">  •  RightAngle / Endur / Allegro position feeds
  •  Platts / Argus / Bloomberg market data
  •  ICE / NYMEX FIX exchange connectors
  •  AIS vessel tracking
  •  News &amp; sentiment feeds
  •  Counterparty / credit signal feeds
  •  Voice &amp; chat capture</t>
  </si>
  <si>
    <t xml:space="preserve">Structured + unstructured trading data unified — the memory that compounds the desk's edge.</t>
  </si>
  <si>
    <t xml:space="preserve">  •  Time-series store for curves, vols, settlements
  •  Trade blotter with full amendment lineage
  •  Position history with molecule indexing
  •  Counterparty master data
  •  Contract corpus + vectorization (RAG)
  •  Voice/chat transcripts vectorized</t>
  </si>
  <si>
    <t xml:space="preserve">Radiant-MVT Core for trading — where reconciled data becomes the truth layer for front, middle, back office.</t>
  </si>
  <si>
    <t xml:space="preserve">  •  Real-time P&amp;L engine
  •  Position aggregation service
  •  VaR (parametric / historical / Monte Carlo)
  •  Greeks calculator
  •  Curve construction service
  •  Settlement engine
  •  Regulatory reporting (Dodd-Frank, EMIR, REMIT)</t>
  </si>
  <si>
    <t xml:space="preserve">Intelligence at trader speed — six model families on Radiant-MVT-grade data, all explainable, all trader-in-loop.</t>
  </si>
  <si>
    <t xml:space="preserve">  •  Optimal hedging recommendation
  •  Anomaly detection / surveillance
  •  GenAI Trade Copilot (RAG → agentic)
  •  Forecasting (curves, basis, vol)
  •  Trade idea generation
  •  Event &amp; sentiment impact scoring
  •  Model lineage + MLOps</t>
  </si>
  <si>
    <t xml:space="preserve">Decisions at the speed of the market — audience-specific lenses on the same reconciled core.</t>
  </si>
  <si>
    <t xml:space="preserve">  •  Trader Desk Dashboard
  •  Pre-trade margin &amp; credit check
  •  Middle Office &amp; Risk Dashboard
  •  C-Suite GenAI Briefing
  •  Regulatory &amp; ESG Reporting
  •  Trader Annotation Capture</t>
  </si>
  <si>
    <t xml:space="preserve">Foundational platform capabilities every layer depends on.</t>
  </si>
  <si>
    <t xml:space="preserve">  •  Trading-module API gateway
  •  Multi-tenant data isolation
  •  TagTrack™ extension for instruments
  •  Audit &amp; lineage framework
  •  Physical-to-financial reconciliation engine
  •  Alert routing &amp; escalation</t>
  </si>
  <si>
    <t xml:space="preserve">  BACKLOG DASHBOARD  ·  COUNTS BY DIMENSION</t>
  </si>
  <si>
    <t xml:space="preserve">BY PRIORITY</t>
  </si>
  <si>
    <t xml:space="preserve">BY PHASE</t>
  </si>
  <si>
    <t xml:space="preserve">BY LAYER</t>
  </si>
  <si>
    <t xml:space="preserve">P0 — critical</t>
  </si>
  <si>
    <t xml:space="preserve">P1 — high</t>
  </si>
  <si>
    <t xml:space="preserve">P2 — medium</t>
  </si>
  <si>
    <t xml:space="preserve">P3 — low</t>
  </si>
  <si>
    <t xml:space="preserve">Total</t>
  </si>
  <si>
    <t xml:space="preserve">L5 - BI</t>
  </si>
  <si>
    <t xml:space="preserve">BY EFFORT</t>
  </si>
  <si>
    <t xml:space="preserve">BY WORKSTREAM</t>
  </si>
  <si>
    <t xml:space="preserve">BY STATUS</t>
  </si>
  <si>
    <t xml:space="preserve">S — ~1 week</t>
  </si>
  <si>
    <t xml:space="preserve">M — 2-4 weeks</t>
  </si>
  <si>
    <t xml:space="preserve">In Progress</t>
  </si>
  <si>
    <t xml:space="preserve">L — 1-2 months</t>
  </si>
  <si>
    <t xml:space="preserve">In Review</t>
  </si>
  <si>
    <t xml:space="preserve">XL — 2-3 months</t>
  </si>
  <si>
    <t xml:space="preserve">Done</t>
  </si>
  <si>
    <t xml:space="preserve">Blocked</t>
  </si>
  <si>
    <t xml:space="preserve">% Complete</t>
  </si>
  <si>
    <t xml:space="preserve">  CRITICAL PATH  ·  P0 epics in Phase 1 (must ship before pilot)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</si>
</sst>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BEEE0"/>
      <name val="Trebuchet MS"/>
      <family val="0"/>
      <charset val="1"/>
    </font>
    <font>
      <i val="true"/>
      <sz val="10"/>
      <color rgb="FF7A5A3F"/>
      <name val="Calibri"/>
      <family val="0"/>
      <charset val="1"/>
    </font>
    <font>
      <b val="true"/>
      <sz val="11"/>
      <color rgb="FFC2410C"/>
      <name val="Trebuchet MS"/>
      <family val="0"/>
      <charset val="1"/>
    </font>
    <font>
      <sz val="11"/>
      <color rgb="FF1F1208"/>
      <name val="Calibri"/>
      <family val="0"/>
      <charset val="1"/>
    </font>
    <font>
      <b val="true"/>
      <sz val="11"/>
      <color rgb="FF3D1F0D"/>
      <name val="Trebuchet MS"/>
      <family val="0"/>
      <charset val="1"/>
    </font>
    <font>
      <b val="true"/>
      <sz val="9"/>
      <color rgb="FFFBEEE0"/>
      <name val="Trebuchet MS"/>
      <family val="0"/>
      <charset val="1"/>
    </font>
    <font>
      <b val="true"/>
      <sz val="13"/>
      <color rgb="FFFBEEE0"/>
      <name val="Trebuchet MS"/>
      <family val="0"/>
      <charset val="1"/>
    </font>
    <font>
      <b val="true"/>
      <sz val="10"/>
      <color rgb="FFFBEEE0"/>
      <name val="Trebuchet MS"/>
      <family val="0"/>
      <charset val="1"/>
    </font>
    <font>
      <b val="true"/>
      <sz val="10"/>
      <color rgb="FF3D1F0D"/>
      <name val="Trebuchet MS"/>
      <family val="0"/>
      <charset val="1"/>
    </font>
    <font>
      <sz val="10"/>
      <color rgb="FF1F1208"/>
      <name val="Calibri"/>
      <family val="0"/>
      <charset val="1"/>
    </font>
    <font>
      <b val="true"/>
      <sz val="14"/>
      <color rgb="FF3D1F0D"/>
      <name val="Trebuchet MS"/>
      <family val="0"/>
      <charset val="1"/>
    </font>
    <font>
      <sz val="10.5"/>
      <color rgb="FF1F1208"/>
      <name val="Calibri"/>
      <family val="0"/>
      <charset val="1"/>
    </font>
    <font>
      <b val="true"/>
      <sz val="14"/>
      <color rgb="FFC2410C"/>
      <name val="Trebuchet MS"/>
      <family val="0"/>
      <charset val="1"/>
    </font>
    <font>
      <b val="true"/>
      <sz val="11"/>
      <color rgb="FFFBEEE0"/>
      <name val="Trebuchet MS"/>
      <family val="0"/>
      <charset val="1"/>
    </font>
    <font>
      <b val="true"/>
      <sz val="10"/>
      <color rgb="FFC2410C"/>
      <name val="Trebuchet M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D1F0D"/>
        <bgColor rgb="FF1F1208"/>
      </patternFill>
    </fill>
    <fill>
      <patternFill patternType="solid">
        <fgColor rgb="FFF5E6D3"/>
        <bgColor rgb="FFEFE3D2"/>
      </patternFill>
    </fill>
    <fill>
      <patternFill patternType="solid">
        <fgColor rgb="FFC241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BEEE0"/>
      </left>
      <right style="thin">
        <color rgb="FFFBEEE0"/>
      </right>
      <top style="thin">
        <color rgb="FFFBEEE0"/>
      </top>
      <bottom style="medium">
        <color rgb="FFC2410C"/>
      </bottom>
      <diagonal/>
    </border>
    <border diagonalUp="false" diagonalDown="false">
      <left style="thin">
        <color rgb="FFE8D9C4"/>
      </left>
      <right style="thin">
        <color rgb="FFE8D9C4"/>
      </right>
      <top style="thin">
        <color rgb="FFE8D9C4"/>
      </top>
      <bottom style="thin">
        <color rgb="FFE8D9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3D1F0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BEEE0"/>
          <bgColor rgb="FF000000"/>
        </patternFill>
      </fill>
    </dxf>
    <dxf>
      <fill>
        <patternFill patternType="solid">
          <fgColor rgb="FFEFE3D2"/>
          <bgColor rgb="FF000000"/>
        </patternFill>
      </fill>
    </dxf>
    <dxf>
      <fill>
        <patternFill patternType="solid">
          <fgColor rgb="FFF4B49E"/>
          <bgColor rgb="FF000000"/>
        </patternFill>
      </fill>
    </dxf>
    <dxf>
      <fill>
        <patternFill patternType="solid">
          <fgColor rgb="FFF5E6D3"/>
          <bgColor rgb="FF000000"/>
        </patternFill>
      </fill>
    </dxf>
    <dxf>
      <fill>
        <patternFill patternType="solid">
          <fgColor rgb="FFFAD4C0"/>
          <bgColor rgb="FF000000"/>
        </patternFill>
      </fill>
    </dxf>
    <dxf>
      <fill>
        <patternFill patternType="solid">
          <fgColor rgb="FF1F1208"/>
          <bgColor rgb="FF000000"/>
        </patternFill>
      </fill>
    </dxf>
    <dxf>
      <fill>
        <patternFill patternType="solid">
          <fgColor rgb="FFE8D9C4"/>
          <bgColor rgb="FF000000"/>
        </patternFill>
      </fill>
    </dxf>
    <dxf>
      <fill>
        <patternFill>
          <bgColor rgb="FFF4B49E"/>
        </patternFill>
      </fill>
    </dxf>
    <dxf>
      <fill>
        <patternFill>
          <bgColor rgb="FFFAD4C0"/>
        </patternFill>
      </fill>
    </dxf>
    <dxf>
      <fill>
        <patternFill>
          <bgColor rgb="FFF5E6D3"/>
        </patternFill>
      </fill>
    </dxf>
    <dxf>
      <fill>
        <patternFill>
          <bgColor rgb="FFEFE3D2"/>
        </patternFill>
      </fill>
    </dxf>
    <dxf>
      <fill>
        <patternFill>
          <bgColor rgb="FFE8D9C4"/>
        </patternFill>
      </fill>
    </dxf>
    <dxf>
      <fill>
        <patternFill>
          <bgColor rgb="FFB8D4A8"/>
        </patternFill>
      </fill>
    </dxf>
  </dxfs>
  <colors>
    <indexedColors>
      <rgbColor rgb="FF000000"/>
      <rgbColor rgb="FFF5E6D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D4A8"/>
      <rgbColor rgb="FF808080"/>
      <rgbColor rgb="FF9999FF"/>
      <rgbColor rgb="FF993366"/>
      <rgbColor rgb="FFFBEEE0"/>
      <rgbColor rgb="FFCCFFFF"/>
      <rgbColor rgb="FF660066"/>
      <rgbColor rgb="FFFF8080"/>
      <rgbColor rgb="FF0066CC"/>
      <rgbColor rgb="FFE8D9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3D2"/>
      <rgbColor rgb="FFFFFF99"/>
      <rgbColor rgb="FF99CCFF"/>
      <rgbColor rgb="FFF4B49E"/>
      <rgbColor rgb="FFCC99FF"/>
      <rgbColor rgb="FFFAD4C0"/>
      <rgbColor rgb="FF3366FF"/>
      <rgbColor rgb="FF33CCCC"/>
      <rgbColor rgb="FF99CC00"/>
      <rgbColor rgb="FFFFCC00"/>
      <rgbColor rgb="FFFF9900"/>
      <rgbColor rgb="FFFF6600"/>
      <rgbColor rgb="FF7A5A3F"/>
      <rgbColor rgb="FF969696"/>
      <rgbColor rgb="FF003366"/>
      <rgbColor rgb="FF339966"/>
      <rgbColor rgb="FF1F1208"/>
      <rgbColor rgb="FF3D1F0D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</cols>
  <sheetData>
    <row r="1" customFormat="false" ht="39.75" hidden="false" customHeight="true" outlineLevel="0" collapsed="false">
      <c r="A1" s="1" t="s">
        <v>0</v>
      </c>
    </row>
    <row r="2" customFormat="false" ht="21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5" t="s">
        <v>16</v>
      </c>
    </row>
    <row r="21" customFormat="false" ht="15" hidden="false" customHeight="false" outlineLevel="0" collapsed="false">
      <c r="A21" s="5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5" t="s">
        <v>19</v>
      </c>
      <c r="B24" s="6" t="n">
        <f aca="false">45</f>
        <v>45</v>
      </c>
    </row>
    <row r="25" customFormat="false" ht="15" hidden="false" customHeight="false" outlineLevel="0" collapsed="false">
      <c r="A25" s="5" t="s">
        <v>20</v>
      </c>
      <c r="B25" s="6" t="n">
        <f aca="false">COUNTIF(BACKLOG!B:B,"P0")</f>
        <v>12</v>
      </c>
    </row>
    <row r="26" customFormat="false" ht="15" hidden="false" customHeight="false" outlineLevel="0" collapsed="false">
      <c r="A26" s="5" t="s">
        <v>21</v>
      </c>
      <c r="B26" s="6" t="n">
        <f aca="false">COUNTIF(BACKLOG!B:B,"P1")</f>
        <v>14</v>
      </c>
    </row>
    <row r="27" customFormat="false" ht="15" hidden="false" customHeight="false" outlineLevel="0" collapsed="false">
      <c r="A27" s="5" t="s">
        <v>22</v>
      </c>
      <c r="B27" s="6" t="n">
        <f aca="false">COUNTIF(BACKLOG!B:B,"P2")</f>
        <v>12</v>
      </c>
    </row>
    <row r="28" customFormat="false" ht="15" hidden="false" customHeight="false" outlineLevel="0" collapsed="false">
      <c r="A28" s="5" t="s">
        <v>23</v>
      </c>
      <c r="B28" s="6" t="n">
        <f aca="false">COUNTIF(BACKLOG!B:B,"P3")</f>
        <v>7</v>
      </c>
    </row>
    <row r="29" customFormat="false" ht="15" hidden="false" customHeight="false" outlineLevel="0" collapsed="false">
      <c r="A29" s="5" t="s">
        <v>24</v>
      </c>
      <c r="B29" s="6" t="n">
        <f aca="false">COUNTIF(BACKLOG!C:C,"1 - Foundation")</f>
        <v>9</v>
      </c>
    </row>
    <row r="30" customFormat="false" ht="15" hidden="false" customHeight="false" outlineLevel="0" collapsed="false">
      <c r="A30" s="5" t="s">
        <v>25</v>
      </c>
      <c r="B30" s="6" t="n">
        <f aca="false">COUNTIF(BACKLOG!C:C,"2 - Pilot")</f>
        <v>7</v>
      </c>
    </row>
    <row r="31" customFormat="false" ht="15" hidden="false" customHeight="false" outlineLevel="0" collapsed="false">
      <c r="A31" s="5" t="s">
        <v>26</v>
      </c>
      <c r="B31" s="6" t="n">
        <f aca="false">COUNTIF(BACKLOG!C:C,"3 - Scale")</f>
        <v>10</v>
      </c>
    </row>
    <row r="32" customFormat="false" ht="15" hidden="false" customHeight="false" outlineLevel="0" collapsed="false">
      <c r="A32" s="5" t="s">
        <v>27</v>
      </c>
      <c r="B32" s="6" t="n">
        <f aca="false">COUNTIF(BACKLOG!C:C,"4 - Harden")</f>
        <v>12</v>
      </c>
    </row>
    <row r="33" customFormat="false" ht="15" hidden="false" customHeight="false" outlineLevel="0" collapsed="false">
      <c r="A33" s="5" t="s">
        <v>28</v>
      </c>
      <c r="B33" s="6" t="n">
        <f aca="false">COUNTIF(BACKLOG!C:C,"5 - Expansion")</f>
        <v>7</v>
      </c>
    </row>
    <row r="36" customFormat="false" ht="24" hidden="false" customHeight="true" outlineLevel="0" collapsed="false">
      <c r="A36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1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8" min="7" style="0" width="60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8" t="s">
        <v>30</v>
      </c>
    </row>
    <row r="3" customFormat="false" ht="31.5" hidden="false" customHeight="true" outlineLevel="0" collapsed="false">
      <c r="A3" s="9" t="s">
        <v>31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  <c r="H3" s="9" t="s">
        <v>38</v>
      </c>
      <c r="I3" s="9" t="s">
        <v>39</v>
      </c>
      <c r="J3" s="9" t="s">
        <v>40</v>
      </c>
      <c r="K3" s="9" t="s">
        <v>41</v>
      </c>
      <c r="L3" s="9" t="s">
        <v>42</v>
      </c>
      <c r="M3" s="9" t="s">
        <v>43</v>
      </c>
    </row>
    <row r="4" customFormat="false" ht="69.75" hidden="false" customHeight="true" outlineLevel="0" collapsed="false">
      <c r="A4" s="10" t="s">
        <v>44</v>
      </c>
      <c r="B4" s="10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2" t="s">
        <v>52</v>
      </c>
      <c r="J4" s="11" t="s">
        <v>53</v>
      </c>
      <c r="K4" s="12" t="s">
        <v>54</v>
      </c>
      <c r="L4" s="11"/>
      <c r="M4" s="11"/>
    </row>
    <row r="5" customFormat="false" ht="69.75" hidden="false" customHeight="true" outlineLevel="0" collapsed="false">
      <c r="A5" s="10" t="s">
        <v>55</v>
      </c>
      <c r="B5" s="10" t="s">
        <v>45</v>
      </c>
      <c r="C5" s="11" t="s">
        <v>46</v>
      </c>
      <c r="D5" s="11" t="s">
        <v>47</v>
      </c>
      <c r="E5" s="11" t="s">
        <v>48</v>
      </c>
      <c r="F5" s="11" t="s">
        <v>56</v>
      </c>
      <c r="G5" s="11" t="s">
        <v>57</v>
      </c>
      <c r="H5" s="11" t="s">
        <v>58</v>
      </c>
      <c r="I5" s="12" t="s">
        <v>52</v>
      </c>
      <c r="J5" s="11" t="s">
        <v>44</v>
      </c>
      <c r="K5" s="12" t="s">
        <v>54</v>
      </c>
      <c r="L5" s="11"/>
      <c r="M5" s="11"/>
    </row>
    <row r="6" customFormat="false" ht="69.75" hidden="false" customHeight="true" outlineLevel="0" collapsed="false">
      <c r="A6" s="10" t="s">
        <v>59</v>
      </c>
      <c r="B6" s="10" t="s">
        <v>45</v>
      </c>
      <c r="C6" s="11" t="s">
        <v>46</v>
      </c>
      <c r="D6" s="11" t="s">
        <v>47</v>
      </c>
      <c r="E6" s="11" t="s">
        <v>48</v>
      </c>
      <c r="F6" s="11" t="s">
        <v>60</v>
      </c>
      <c r="G6" s="11" t="s">
        <v>61</v>
      </c>
      <c r="H6" s="11" t="s">
        <v>62</v>
      </c>
      <c r="I6" s="12" t="s">
        <v>63</v>
      </c>
      <c r="J6" s="11" t="s">
        <v>55</v>
      </c>
      <c r="K6" s="12" t="s">
        <v>54</v>
      </c>
      <c r="L6" s="11"/>
      <c r="M6" s="11"/>
    </row>
    <row r="7" customFormat="false" ht="69.75" hidden="false" customHeight="true" outlineLevel="0" collapsed="false">
      <c r="A7" s="10" t="s">
        <v>64</v>
      </c>
      <c r="B7" s="10" t="s">
        <v>45</v>
      </c>
      <c r="C7" s="11" t="s">
        <v>46</v>
      </c>
      <c r="D7" s="11" t="s">
        <v>47</v>
      </c>
      <c r="E7" s="11" t="s">
        <v>48</v>
      </c>
      <c r="F7" s="11" t="s">
        <v>65</v>
      </c>
      <c r="G7" s="11" t="s">
        <v>66</v>
      </c>
      <c r="H7" s="11" t="s">
        <v>67</v>
      </c>
      <c r="I7" s="12" t="s">
        <v>52</v>
      </c>
      <c r="J7" s="11" t="s">
        <v>55</v>
      </c>
      <c r="K7" s="12" t="s">
        <v>54</v>
      </c>
      <c r="L7" s="11"/>
      <c r="M7" s="11"/>
    </row>
    <row r="8" customFormat="false" ht="69.75" hidden="false" customHeight="true" outlineLevel="0" collapsed="false">
      <c r="A8" s="10" t="s">
        <v>68</v>
      </c>
      <c r="B8" s="10" t="s">
        <v>45</v>
      </c>
      <c r="C8" s="11" t="s">
        <v>46</v>
      </c>
      <c r="D8" s="11" t="s">
        <v>69</v>
      </c>
      <c r="E8" s="11" t="s">
        <v>70</v>
      </c>
      <c r="F8" s="11" t="s">
        <v>71</v>
      </c>
      <c r="G8" s="11" t="s">
        <v>72</v>
      </c>
      <c r="H8" s="11" t="s">
        <v>73</v>
      </c>
      <c r="I8" s="12" t="s">
        <v>52</v>
      </c>
      <c r="J8" s="11" t="s">
        <v>59</v>
      </c>
      <c r="K8" s="12" t="s">
        <v>54</v>
      </c>
      <c r="L8" s="11"/>
      <c r="M8" s="11"/>
    </row>
    <row r="9" customFormat="false" ht="69.75" hidden="false" customHeight="true" outlineLevel="0" collapsed="false">
      <c r="A9" s="10" t="s">
        <v>74</v>
      </c>
      <c r="B9" s="10" t="s">
        <v>45</v>
      </c>
      <c r="C9" s="11" t="s">
        <v>46</v>
      </c>
      <c r="D9" s="11" t="s">
        <v>69</v>
      </c>
      <c r="E9" s="11" t="s">
        <v>70</v>
      </c>
      <c r="F9" s="11" t="s">
        <v>75</v>
      </c>
      <c r="G9" s="11" t="s">
        <v>76</v>
      </c>
      <c r="H9" s="11" t="s">
        <v>77</v>
      </c>
      <c r="I9" s="12" t="s">
        <v>78</v>
      </c>
      <c r="J9" s="11" t="s">
        <v>44</v>
      </c>
      <c r="K9" s="12" t="s">
        <v>54</v>
      </c>
      <c r="L9" s="11"/>
      <c r="M9" s="11"/>
    </row>
    <row r="10" customFormat="false" ht="69.75" hidden="false" customHeight="true" outlineLevel="0" collapsed="false">
      <c r="A10" s="10" t="s">
        <v>79</v>
      </c>
      <c r="B10" s="10" t="s">
        <v>45</v>
      </c>
      <c r="C10" s="11" t="s">
        <v>46</v>
      </c>
      <c r="D10" s="11" t="s">
        <v>80</v>
      </c>
      <c r="E10" s="11" t="s">
        <v>81</v>
      </c>
      <c r="F10" s="11" t="s">
        <v>82</v>
      </c>
      <c r="G10" s="11" t="s">
        <v>83</v>
      </c>
      <c r="H10" s="11" t="s">
        <v>84</v>
      </c>
      <c r="I10" s="12" t="s">
        <v>52</v>
      </c>
      <c r="J10" s="11" t="s">
        <v>44</v>
      </c>
      <c r="K10" s="12" t="s">
        <v>54</v>
      </c>
      <c r="L10" s="11"/>
      <c r="M10" s="11"/>
    </row>
    <row r="11" customFormat="false" ht="69.75" hidden="false" customHeight="true" outlineLevel="0" collapsed="false">
      <c r="A11" s="10" t="s">
        <v>85</v>
      </c>
      <c r="B11" s="10" t="s">
        <v>45</v>
      </c>
      <c r="C11" s="11" t="s">
        <v>46</v>
      </c>
      <c r="D11" s="11" t="s">
        <v>80</v>
      </c>
      <c r="E11" s="11" t="s">
        <v>81</v>
      </c>
      <c r="F11" s="11" t="s">
        <v>86</v>
      </c>
      <c r="G11" s="11" t="s">
        <v>87</v>
      </c>
      <c r="H11" s="11" t="s">
        <v>88</v>
      </c>
      <c r="I11" s="12" t="s">
        <v>52</v>
      </c>
      <c r="J11" s="11" t="s">
        <v>59</v>
      </c>
      <c r="K11" s="12" t="s">
        <v>54</v>
      </c>
      <c r="L11" s="11"/>
      <c r="M11" s="11"/>
    </row>
    <row r="12" customFormat="false" ht="69.75" hidden="false" customHeight="true" outlineLevel="0" collapsed="false">
      <c r="A12" s="10" t="s">
        <v>89</v>
      </c>
      <c r="B12" s="10" t="s">
        <v>45</v>
      </c>
      <c r="C12" s="11" t="s">
        <v>46</v>
      </c>
      <c r="D12" s="11" t="s">
        <v>80</v>
      </c>
      <c r="E12" s="11" t="s">
        <v>81</v>
      </c>
      <c r="F12" s="11" t="s">
        <v>90</v>
      </c>
      <c r="G12" s="11" t="s">
        <v>91</v>
      </c>
      <c r="H12" s="11" t="s">
        <v>92</v>
      </c>
      <c r="I12" s="12" t="s">
        <v>52</v>
      </c>
      <c r="J12" s="11" t="s">
        <v>93</v>
      </c>
      <c r="K12" s="12" t="s">
        <v>54</v>
      </c>
      <c r="L12" s="11"/>
      <c r="M12" s="11"/>
    </row>
    <row r="13" customFormat="false" ht="69.75" hidden="false" customHeight="true" outlineLevel="0" collapsed="false">
      <c r="A13" s="10" t="s">
        <v>94</v>
      </c>
      <c r="B13" s="10" t="s">
        <v>45</v>
      </c>
      <c r="C13" s="11" t="s">
        <v>95</v>
      </c>
      <c r="D13" s="11" t="s">
        <v>96</v>
      </c>
      <c r="E13" s="11" t="s">
        <v>97</v>
      </c>
      <c r="F13" s="11" t="s">
        <v>98</v>
      </c>
      <c r="G13" s="11" t="s">
        <v>99</v>
      </c>
      <c r="H13" s="11" t="s">
        <v>100</v>
      </c>
      <c r="I13" s="12" t="s">
        <v>52</v>
      </c>
      <c r="J13" s="11" t="s">
        <v>101</v>
      </c>
      <c r="K13" s="12" t="s">
        <v>54</v>
      </c>
      <c r="L13" s="11"/>
      <c r="M13" s="11"/>
    </row>
    <row r="14" customFormat="false" ht="69.75" hidden="false" customHeight="true" outlineLevel="0" collapsed="false">
      <c r="A14" s="10" t="s">
        <v>102</v>
      </c>
      <c r="B14" s="10" t="s">
        <v>45</v>
      </c>
      <c r="C14" s="11" t="s">
        <v>95</v>
      </c>
      <c r="D14" s="11" t="s">
        <v>96</v>
      </c>
      <c r="E14" s="11" t="s">
        <v>97</v>
      </c>
      <c r="F14" s="11" t="s">
        <v>103</v>
      </c>
      <c r="G14" s="11" t="s">
        <v>104</v>
      </c>
      <c r="H14" s="11" t="s">
        <v>105</v>
      </c>
      <c r="I14" s="12" t="s">
        <v>78</v>
      </c>
      <c r="J14" s="11" t="s">
        <v>106</v>
      </c>
      <c r="K14" s="12" t="s">
        <v>54</v>
      </c>
      <c r="L14" s="11"/>
      <c r="M14" s="11"/>
    </row>
    <row r="15" customFormat="false" ht="69.75" hidden="false" customHeight="true" outlineLevel="0" collapsed="false">
      <c r="A15" s="10" t="s">
        <v>107</v>
      </c>
      <c r="B15" s="10" t="s">
        <v>45</v>
      </c>
      <c r="C15" s="11" t="s">
        <v>95</v>
      </c>
      <c r="D15" s="11" t="s">
        <v>47</v>
      </c>
      <c r="E15" s="11" t="s">
        <v>81</v>
      </c>
      <c r="F15" s="11" t="s">
        <v>108</v>
      </c>
      <c r="G15" s="11" t="s">
        <v>109</v>
      </c>
      <c r="H15" s="11" t="s">
        <v>110</v>
      </c>
      <c r="I15" s="12" t="s">
        <v>63</v>
      </c>
      <c r="J15" s="11" t="s">
        <v>111</v>
      </c>
      <c r="K15" s="12" t="s">
        <v>54</v>
      </c>
      <c r="L15" s="11"/>
      <c r="M15" s="11"/>
    </row>
    <row r="16" customFormat="false" ht="69.75" hidden="false" customHeight="true" outlineLevel="0" collapsed="false">
      <c r="A16" s="10" t="s">
        <v>112</v>
      </c>
      <c r="B16" s="10" t="s">
        <v>113</v>
      </c>
      <c r="C16" s="11" t="s">
        <v>95</v>
      </c>
      <c r="D16" s="11" t="s">
        <v>114</v>
      </c>
      <c r="E16" s="11" t="s">
        <v>115</v>
      </c>
      <c r="F16" s="11" t="s">
        <v>116</v>
      </c>
      <c r="G16" s="11" t="s">
        <v>117</v>
      </c>
      <c r="H16" s="11" t="s">
        <v>118</v>
      </c>
      <c r="I16" s="12" t="s">
        <v>52</v>
      </c>
      <c r="J16" s="11" t="s">
        <v>119</v>
      </c>
      <c r="K16" s="12" t="s">
        <v>54</v>
      </c>
      <c r="L16" s="11"/>
      <c r="M16" s="11"/>
    </row>
    <row r="17" customFormat="false" ht="69.75" hidden="false" customHeight="true" outlineLevel="0" collapsed="false">
      <c r="A17" s="10" t="s">
        <v>120</v>
      </c>
      <c r="B17" s="10" t="s">
        <v>113</v>
      </c>
      <c r="C17" s="11" t="s">
        <v>95</v>
      </c>
      <c r="D17" s="11" t="s">
        <v>114</v>
      </c>
      <c r="E17" s="11" t="s">
        <v>115</v>
      </c>
      <c r="F17" s="11" t="s">
        <v>121</v>
      </c>
      <c r="G17" s="11" t="s">
        <v>122</v>
      </c>
      <c r="H17" s="11" t="s">
        <v>123</v>
      </c>
      <c r="I17" s="12" t="s">
        <v>52</v>
      </c>
      <c r="J17" s="11" t="s">
        <v>124</v>
      </c>
      <c r="K17" s="12" t="s">
        <v>54</v>
      </c>
      <c r="L17" s="11"/>
      <c r="M17" s="11"/>
    </row>
    <row r="18" customFormat="false" ht="69.75" hidden="false" customHeight="true" outlineLevel="0" collapsed="false">
      <c r="A18" s="10" t="s">
        <v>125</v>
      </c>
      <c r="B18" s="10" t="s">
        <v>113</v>
      </c>
      <c r="C18" s="11" t="s">
        <v>95</v>
      </c>
      <c r="D18" s="11" t="s">
        <v>126</v>
      </c>
      <c r="E18" s="11" t="s">
        <v>127</v>
      </c>
      <c r="F18" s="11" t="s">
        <v>128</v>
      </c>
      <c r="G18" s="11" t="s">
        <v>129</v>
      </c>
      <c r="H18" s="11" t="s">
        <v>130</v>
      </c>
      <c r="I18" s="12" t="s">
        <v>52</v>
      </c>
      <c r="J18" s="11" t="s">
        <v>131</v>
      </c>
      <c r="K18" s="12" t="s">
        <v>54</v>
      </c>
      <c r="L18" s="11"/>
      <c r="M18" s="11"/>
    </row>
    <row r="19" customFormat="false" ht="69.75" hidden="false" customHeight="true" outlineLevel="0" collapsed="false">
      <c r="A19" s="10" t="s">
        <v>132</v>
      </c>
      <c r="B19" s="10" t="s">
        <v>113</v>
      </c>
      <c r="C19" s="11" t="s">
        <v>95</v>
      </c>
      <c r="D19" s="11" t="s">
        <v>126</v>
      </c>
      <c r="E19" s="11" t="s">
        <v>127</v>
      </c>
      <c r="F19" s="11" t="s">
        <v>133</v>
      </c>
      <c r="G19" s="11" t="s">
        <v>134</v>
      </c>
      <c r="H19" s="11" t="s">
        <v>135</v>
      </c>
      <c r="I19" s="12" t="s">
        <v>78</v>
      </c>
      <c r="J19" s="11" t="s">
        <v>125</v>
      </c>
      <c r="K19" s="12" t="s">
        <v>54</v>
      </c>
      <c r="L19" s="11"/>
      <c r="M19" s="11"/>
    </row>
    <row r="20" customFormat="false" ht="69.75" hidden="false" customHeight="true" outlineLevel="0" collapsed="false">
      <c r="A20" s="10" t="s">
        <v>136</v>
      </c>
      <c r="B20" s="10" t="s">
        <v>113</v>
      </c>
      <c r="C20" s="11" t="s">
        <v>137</v>
      </c>
      <c r="D20" s="11" t="s">
        <v>69</v>
      </c>
      <c r="E20" s="11" t="s">
        <v>70</v>
      </c>
      <c r="F20" s="11" t="s">
        <v>138</v>
      </c>
      <c r="G20" s="11" t="s">
        <v>139</v>
      </c>
      <c r="H20" s="11" t="s">
        <v>140</v>
      </c>
      <c r="I20" s="12" t="s">
        <v>78</v>
      </c>
      <c r="J20" s="11" t="s">
        <v>68</v>
      </c>
      <c r="K20" s="12" t="s">
        <v>54</v>
      </c>
      <c r="L20" s="11"/>
      <c r="M20" s="11"/>
    </row>
    <row r="21" customFormat="false" ht="69.75" hidden="false" customHeight="true" outlineLevel="0" collapsed="false">
      <c r="A21" s="10" t="s">
        <v>141</v>
      </c>
      <c r="B21" s="10" t="s">
        <v>113</v>
      </c>
      <c r="C21" s="11" t="s">
        <v>137</v>
      </c>
      <c r="D21" s="11" t="s">
        <v>69</v>
      </c>
      <c r="E21" s="11" t="s">
        <v>70</v>
      </c>
      <c r="F21" s="11" t="s">
        <v>142</v>
      </c>
      <c r="G21" s="11" t="s">
        <v>143</v>
      </c>
      <c r="H21" s="11" t="s">
        <v>144</v>
      </c>
      <c r="I21" s="12" t="s">
        <v>78</v>
      </c>
      <c r="J21" s="11" t="s">
        <v>68</v>
      </c>
      <c r="K21" s="12" t="s">
        <v>54</v>
      </c>
      <c r="L21" s="11"/>
      <c r="M21" s="11"/>
    </row>
    <row r="22" customFormat="false" ht="69.75" hidden="false" customHeight="true" outlineLevel="0" collapsed="false">
      <c r="A22" s="10" t="s">
        <v>145</v>
      </c>
      <c r="B22" s="10" t="s">
        <v>113</v>
      </c>
      <c r="C22" s="11" t="s">
        <v>137</v>
      </c>
      <c r="D22" s="11" t="s">
        <v>69</v>
      </c>
      <c r="E22" s="11" t="s">
        <v>70</v>
      </c>
      <c r="F22" s="11" t="s">
        <v>146</v>
      </c>
      <c r="G22" s="11" t="s">
        <v>147</v>
      </c>
      <c r="H22" s="11" t="s">
        <v>148</v>
      </c>
      <c r="I22" s="12" t="s">
        <v>52</v>
      </c>
      <c r="J22" s="11" t="s">
        <v>44</v>
      </c>
      <c r="K22" s="12" t="s">
        <v>54</v>
      </c>
      <c r="L22" s="11"/>
      <c r="M22" s="11"/>
    </row>
    <row r="23" customFormat="false" ht="69.75" hidden="false" customHeight="true" outlineLevel="0" collapsed="false">
      <c r="A23" s="10" t="s">
        <v>149</v>
      </c>
      <c r="B23" s="10" t="s">
        <v>113</v>
      </c>
      <c r="C23" s="11" t="s">
        <v>137</v>
      </c>
      <c r="D23" s="11" t="s">
        <v>69</v>
      </c>
      <c r="E23" s="11" t="s">
        <v>70</v>
      </c>
      <c r="F23" s="11" t="s">
        <v>150</v>
      </c>
      <c r="G23" s="11" t="s">
        <v>151</v>
      </c>
      <c r="H23" s="11" t="s">
        <v>152</v>
      </c>
      <c r="I23" s="12" t="s">
        <v>78</v>
      </c>
      <c r="J23" s="11" t="s">
        <v>74</v>
      </c>
      <c r="K23" s="12" t="s">
        <v>54</v>
      </c>
      <c r="L23" s="11"/>
      <c r="M23" s="11"/>
    </row>
    <row r="24" customFormat="false" ht="69.75" hidden="false" customHeight="true" outlineLevel="0" collapsed="false">
      <c r="A24" s="10" t="s">
        <v>153</v>
      </c>
      <c r="B24" s="10" t="s">
        <v>113</v>
      </c>
      <c r="C24" s="11" t="s">
        <v>137</v>
      </c>
      <c r="D24" s="11" t="s">
        <v>96</v>
      </c>
      <c r="E24" s="11" t="s">
        <v>97</v>
      </c>
      <c r="F24" s="11" t="s">
        <v>154</v>
      </c>
      <c r="G24" s="11" t="s">
        <v>155</v>
      </c>
      <c r="H24" s="11" t="s">
        <v>156</v>
      </c>
      <c r="I24" s="12" t="s">
        <v>52</v>
      </c>
      <c r="J24" s="11" t="s">
        <v>102</v>
      </c>
      <c r="K24" s="12" t="s">
        <v>54</v>
      </c>
      <c r="L24" s="11"/>
      <c r="M24" s="11"/>
    </row>
    <row r="25" customFormat="false" ht="69.75" hidden="false" customHeight="true" outlineLevel="0" collapsed="false">
      <c r="A25" s="10" t="s">
        <v>157</v>
      </c>
      <c r="B25" s="10" t="s">
        <v>113</v>
      </c>
      <c r="C25" s="11" t="s">
        <v>137</v>
      </c>
      <c r="D25" s="11" t="s">
        <v>96</v>
      </c>
      <c r="E25" s="11" t="s">
        <v>97</v>
      </c>
      <c r="F25" s="11" t="s">
        <v>158</v>
      </c>
      <c r="G25" s="11" t="s">
        <v>159</v>
      </c>
      <c r="H25" s="11" t="s">
        <v>160</v>
      </c>
      <c r="I25" s="12" t="s">
        <v>78</v>
      </c>
      <c r="J25" s="11" t="s">
        <v>79</v>
      </c>
      <c r="K25" s="12" t="s">
        <v>54</v>
      </c>
      <c r="L25" s="11"/>
      <c r="M25" s="11"/>
    </row>
    <row r="26" customFormat="false" ht="69.75" hidden="false" customHeight="true" outlineLevel="0" collapsed="false">
      <c r="A26" s="10" t="s">
        <v>161</v>
      </c>
      <c r="B26" s="10" t="s">
        <v>113</v>
      </c>
      <c r="C26" s="11" t="s">
        <v>137</v>
      </c>
      <c r="D26" s="11" t="s">
        <v>114</v>
      </c>
      <c r="E26" s="11" t="s">
        <v>115</v>
      </c>
      <c r="F26" s="11" t="s">
        <v>162</v>
      </c>
      <c r="G26" s="11" t="s">
        <v>163</v>
      </c>
      <c r="H26" s="11" t="s">
        <v>164</v>
      </c>
      <c r="I26" s="12" t="s">
        <v>52</v>
      </c>
      <c r="J26" s="11" t="s">
        <v>165</v>
      </c>
      <c r="K26" s="12" t="s">
        <v>54</v>
      </c>
      <c r="L26" s="11"/>
      <c r="M26" s="11"/>
    </row>
    <row r="27" customFormat="false" ht="69.75" hidden="false" customHeight="true" outlineLevel="0" collapsed="false">
      <c r="A27" s="10" t="s">
        <v>166</v>
      </c>
      <c r="B27" s="10" t="s">
        <v>113</v>
      </c>
      <c r="C27" s="11" t="s">
        <v>137</v>
      </c>
      <c r="D27" s="11" t="s">
        <v>126</v>
      </c>
      <c r="E27" s="11" t="s">
        <v>127</v>
      </c>
      <c r="F27" s="11" t="s">
        <v>167</v>
      </c>
      <c r="G27" s="11" t="s">
        <v>168</v>
      </c>
      <c r="H27" s="11" t="s">
        <v>169</v>
      </c>
      <c r="I27" s="12" t="s">
        <v>52</v>
      </c>
      <c r="J27" s="11" t="s">
        <v>170</v>
      </c>
      <c r="K27" s="12" t="s">
        <v>54</v>
      </c>
      <c r="L27" s="11"/>
      <c r="M27" s="11"/>
    </row>
    <row r="28" customFormat="false" ht="69.75" hidden="false" customHeight="true" outlineLevel="0" collapsed="false">
      <c r="A28" s="10" t="s">
        <v>171</v>
      </c>
      <c r="B28" s="10" t="s">
        <v>113</v>
      </c>
      <c r="C28" s="11" t="s">
        <v>137</v>
      </c>
      <c r="D28" s="11" t="s">
        <v>80</v>
      </c>
      <c r="E28" s="11" t="s">
        <v>81</v>
      </c>
      <c r="F28" s="11" t="s">
        <v>172</v>
      </c>
      <c r="G28" s="11" t="s">
        <v>173</v>
      </c>
      <c r="H28" s="11" t="s">
        <v>174</v>
      </c>
      <c r="I28" s="12" t="s">
        <v>52</v>
      </c>
      <c r="J28" s="11" t="s">
        <v>85</v>
      </c>
      <c r="K28" s="12" t="s">
        <v>54</v>
      </c>
      <c r="L28" s="11"/>
      <c r="M28" s="11"/>
    </row>
    <row r="29" customFormat="false" ht="69.75" hidden="false" customHeight="true" outlineLevel="0" collapsed="false">
      <c r="A29" s="10" t="s">
        <v>175</v>
      </c>
      <c r="B29" s="10" t="s">
        <v>113</v>
      </c>
      <c r="C29" s="11" t="s">
        <v>137</v>
      </c>
      <c r="D29" s="11" t="s">
        <v>114</v>
      </c>
      <c r="E29" s="11" t="s">
        <v>115</v>
      </c>
      <c r="F29" s="11" t="s">
        <v>176</v>
      </c>
      <c r="G29" s="11" t="s">
        <v>177</v>
      </c>
      <c r="H29" s="11" t="s">
        <v>178</v>
      </c>
      <c r="I29" s="12" t="s">
        <v>52</v>
      </c>
      <c r="J29" s="11" t="s">
        <v>179</v>
      </c>
      <c r="K29" s="12" t="s">
        <v>54</v>
      </c>
      <c r="L29" s="11"/>
      <c r="M29" s="11"/>
    </row>
    <row r="30" customFormat="false" ht="69.75" hidden="false" customHeight="true" outlineLevel="0" collapsed="false">
      <c r="A30" s="10" t="s">
        <v>180</v>
      </c>
      <c r="B30" s="10" t="s">
        <v>181</v>
      </c>
      <c r="C30" s="11" t="s">
        <v>182</v>
      </c>
      <c r="D30" s="11" t="s">
        <v>96</v>
      </c>
      <c r="E30" s="11" t="s">
        <v>97</v>
      </c>
      <c r="F30" s="11" t="s">
        <v>183</v>
      </c>
      <c r="G30" s="11" t="s">
        <v>184</v>
      </c>
      <c r="H30" s="11" t="s">
        <v>185</v>
      </c>
      <c r="I30" s="12" t="s">
        <v>52</v>
      </c>
      <c r="J30" s="11" t="s">
        <v>153</v>
      </c>
      <c r="K30" s="12" t="s">
        <v>54</v>
      </c>
      <c r="L30" s="11"/>
      <c r="M30" s="11"/>
    </row>
    <row r="31" customFormat="false" ht="69.75" hidden="false" customHeight="true" outlineLevel="0" collapsed="false">
      <c r="A31" s="10" t="s">
        <v>186</v>
      </c>
      <c r="B31" s="10" t="s">
        <v>181</v>
      </c>
      <c r="C31" s="11" t="s">
        <v>182</v>
      </c>
      <c r="D31" s="11" t="s">
        <v>96</v>
      </c>
      <c r="E31" s="11" t="s">
        <v>97</v>
      </c>
      <c r="F31" s="11" t="s">
        <v>187</v>
      </c>
      <c r="G31" s="11" t="s">
        <v>188</v>
      </c>
      <c r="H31" s="11" t="s">
        <v>189</v>
      </c>
      <c r="I31" s="12" t="s">
        <v>78</v>
      </c>
      <c r="J31" s="11" t="s">
        <v>157</v>
      </c>
      <c r="K31" s="12" t="s">
        <v>54</v>
      </c>
      <c r="L31" s="11"/>
      <c r="M31" s="11"/>
    </row>
    <row r="32" customFormat="false" ht="69.75" hidden="false" customHeight="true" outlineLevel="0" collapsed="false">
      <c r="A32" s="10" t="s">
        <v>190</v>
      </c>
      <c r="B32" s="10" t="s">
        <v>181</v>
      </c>
      <c r="C32" s="11" t="s">
        <v>182</v>
      </c>
      <c r="D32" s="11" t="s">
        <v>96</v>
      </c>
      <c r="E32" s="11" t="s">
        <v>97</v>
      </c>
      <c r="F32" s="11" t="s">
        <v>191</v>
      </c>
      <c r="G32" s="11" t="s">
        <v>192</v>
      </c>
      <c r="H32" s="11" t="s">
        <v>193</v>
      </c>
      <c r="I32" s="12" t="s">
        <v>52</v>
      </c>
      <c r="J32" s="11" t="s">
        <v>194</v>
      </c>
      <c r="K32" s="12" t="s">
        <v>54</v>
      </c>
      <c r="L32" s="11"/>
      <c r="M32" s="11"/>
    </row>
    <row r="33" customFormat="false" ht="69.75" hidden="false" customHeight="true" outlineLevel="0" collapsed="false">
      <c r="A33" s="10" t="s">
        <v>195</v>
      </c>
      <c r="B33" s="10" t="s">
        <v>181</v>
      </c>
      <c r="C33" s="11" t="s">
        <v>182</v>
      </c>
      <c r="D33" s="11" t="s">
        <v>96</v>
      </c>
      <c r="E33" s="11" t="s">
        <v>97</v>
      </c>
      <c r="F33" s="11" t="s">
        <v>196</v>
      </c>
      <c r="G33" s="11" t="s">
        <v>197</v>
      </c>
      <c r="H33" s="11" t="s">
        <v>198</v>
      </c>
      <c r="I33" s="12" t="s">
        <v>52</v>
      </c>
      <c r="J33" s="11" t="s">
        <v>199</v>
      </c>
      <c r="K33" s="12" t="s">
        <v>54</v>
      </c>
      <c r="L33" s="11"/>
      <c r="M33" s="11"/>
    </row>
    <row r="34" customFormat="false" ht="69.75" hidden="false" customHeight="true" outlineLevel="0" collapsed="false">
      <c r="A34" s="10" t="s">
        <v>200</v>
      </c>
      <c r="B34" s="10" t="s">
        <v>181</v>
      </c>
      <c r="C34" s="11" t="s">
        <v>182</v>
      </c>
      <c r="D34" s="11" t="s">
        <v>114</v>
      </c>
      <c r="E34" s="11" t="s">
        <v>115</v>
      </c>
      <c r="F34" s="11" t="s">
        <v>201</v>
      </c>
      <c r="G34" s="11" t="s">
        <v>202</v>
      </c>
      <c r="H34" s="11" t="s">
        <v>203</v>
      </c>
      <c r="I34" s="12" t="s">
        <v>52</v>
      </c>
      <c r="J34" s="11" t="s">
        <v>157</v>
      </c>
      <c r="K34" s="12" t="s">
        <v>54</v>
      </c>
      <c r="L34" s="11"/>
      <c r="M34" s="11"/>
    </row>
    <row r="35" customFormat="false" ht="69.75" hidden="false" customHeight="true" outlineLevel="0" collapsed="false">
      <c r="A35" s="10" t="s">
        <v>204</v>
      </c>
      <c r="B35" s="10" t="s">
        <v>181</v>
      </c>
      <c r="C35" s="11" t="s">
        <v>182</v>
      </c>
      <c r="D35" s="11" t="s">
        <v>114</v>
      </c>
      <c r="E35" s="11" t="s">
        <v>115</v>
      </c>
      <c r="F35" s="11" t="s">
        <v>205</v>
      </c>
      <c r="G35" s="11" t="s">
        <v>206</v>
      </c>
      <c r="H35" s="11" t="s">
        <v>207</v>
      </c>
      <c r="I35" s="12" t="s">
        <v>52</v>
      </c>
      <c r="J35" s="11" t="s">
        <v>208</v>
      </c>
      <c r="K35" s="12" t="s">
        <v>54</v>
      </c>
      <c r="L35" s="11"/>
      <c r="M35" s="11"/>
    </row>
    <row r="36" customFormat="false" ht="69.75" hidden="false" customHeight="true" outlineLevel="0" collapsed="false">
      <c r="A36" s="10" t="s">
        <v>209</v>
      </c>
      <c r="B36" s="10" t="s">
        <v>181</v>
      </c>
      <c r="C36" s="11" t="s">
        <v>182</v>
      </c>
      <c r="D36" s="11" t="s">
        <v>80</v>
      </c>
      <c r="E36" s="11" t="s">
        <v>81</v>
      </c>
      <c r="F36" s="11" t="s">
        <v>210</v>
      </c>
      <c r="G36" s="11" t="s">
        <v>211</v>
      </c>
      <c r="H36" s="11" t="s">
        <v>212</v>
      </c>
      <c r="I36" s="12" t="s">
        <v>78</v>
      </c>
      <c r="J36" s="11" t="s">
        <v>85</v>
      </c>
      <c r="K36" s="12" t="s">
        <v>54</v>
      </c>
      <c r="L36" s="11"/>
      <c r="M36" s="11"/>
    </row>
    <row r="37" customFormat="false" ht="69.75" hidden="false" customHeight="true" outlineLevel="0" collapsed="false">
      <c r="A37" s="10" t="s">
        <v>213</v>
      </c>
      <c r="B37" s="10" t="s">
        <v>181</v>
      </c>
      <c r="C37" s="11" t="s">
        <v>182</v>
      </c>
      <c r="D37" s="11" t="s">
        <v>69</v>
      </c>
      <c r="E37" s="11" t="s">
        <v>70</v>
      </c>
      <c r="F37" s="11" t="s">
        <v>214</v>
      </c>
      <c r="G37" s="11" t="s">
        <v>215</v>
      </c>
      <c r="H37" s="11" t="s">
        <v>216</v>
      </c>
      <c r="I37" s="12" t="s">
        <v>78</v>
      </c>
      <c r="J37" s="11" t="s">
        <v>44</v>
      </c>
      <c r="K37" s="12" t="s">
        <v>54</v>
      </c>
      <c r="L37" s="11"/>
      <c r="M37" s="11"/>
    </row>
    <row r="38" customFormat="false" ht="69.75" hidden="false" customHeight="true" outlineLevel="0" collapsed="false">
      <c r="A38" s="10" t="s">
        <v>217</v>
      </c>
      <c r="B38" s="10" t="s">
        <v>181</v>
      </c>
      <c r="C38" s="11" t="s">
        <v>182</v>
      </c>
      <c r="D38" s="11" t="s">
        <v>69</v>
      </c>
      <c r="E38" s="11" t="s">
        <v>70</v>
      </c>
      <c r="F38" s="11" t="s">
        <v>218</v>
      </c>
      <c r="G38" s="11" t="s">
        <v>219</v>
      </c>
      <c r="H38" s="11" t="s">
        <v>220</v>
      </c>
      <c r="I38" s="12" t="s">
        <v>78</v>
      </c>
      <c r="J38" s="11" t="s">
        <v>44</v>
      </c>
      <c r="K38" s="12" t="s">
        <v>54</v>
      </c>
      <c r="L38" s="11"/>
      <c r="M38" s="11"/>
    </row>
    <row r="39" customFormat="false" ht="69.75" hidden="false" customHeight="true" outlineLevel="0" collapsed="false">
      <c r="A39" s="10" t="s">
        <v>221</v>
      </c>
      <c r="B39" s="10" t="s">
        <v>181</v>
      </c>
      <c r="C39" s="11" t="s">
        <v>182</v>
      </c>
      <c r="D39" s="11" t="s">
        <v>114</v>
      </c>
      <c r="E39" s="11" t="s">
        <v>115</v>
      </c>
      <c r="F39" s="11" t="s">
        <v>222</v>
      </c>
      <c r="G39" s="11" t="s">
        <v>223</v>
      </c>
      <c r="H39" s="11" t="s">
        <v>224</v>
      </c>
      <c r="I39" s="12" t="s">
        <v>52</v>
      </c>
      <c r="J39" s="11" t="s">
        <v>225</v>
      </c>
      <c r="K39" s="12" t="s">
        <v>54</v>
      </c>
      <c r="L39" s="11"/>
      <c r="M39" s="11"/>
    </row>
    <row r="40" customFormat="false" ht="69.75" hidden="false" customHeight="true" outlineLevel="0" collapsed="false">
      <c r="A40" s="10" t="s">
        <v>226</v>
      </c>
      <c r="B40" s="10" t="s">
        <v>181</v>
      </c>
      <c r="C40" s="11" t="s">
        <v>182</v>
      </c>
      <c r="D40" s="11" t="s">
        <v>126</v>
      </c>
      <c r="E40" s="11" t="s">
        <v>127</v>
      </c>
      <c r="F40" s="11" t="s">
        <v>227</v>
      </c>
      <c r="G40" s="11" t="s">
        <v>228</v>
      </c>
      <c r="H40" s="11" t="s">
        <v>229</v>
      </c>
      <c r="I40" s="12" t="s">
        <v>78</v>
      </c>
      <c r="J40" s="11" t="s">
        <v>230</v>
      </c>
      <c r="K40" s="12" t="s">
        <v>54</v>
      </c>
      <c r="L40" s="11"/>
      <c r="M40" s="11"/>
    </row>
    <row r="41" customFormat="false" ht="69.75" hidden="false" customHeight="true" outlineLevel="0" collapsed="false">
      <c r="A41" s="10" t="s">
        <v>231</v>
      </c>
      <c r="B41" s="10" t="s">
        <v>181</v>
      </c>
      <c r="C41" s="11" t="s">
        <v>182</v>
      </c>
      <c r="D41" s="11" t="s">
        <v>47</v>
      </c>
      <c r="E41" s="11" t="s">
        <v>48</v>
      </c>
      <c r="F41" s="11" t="s">
        <v>232</v>
      </c>
      <c r="G41" s="11" t="s">
        <v>233</v>
      </c>
      <c r="H41" s="11" t="s">
        <v>234</v>
      </c>
      <c r="I41" s="12" t="s">
        <v>78</v>
      </c>
      <c r="J41" s="11" t="s">
        <v>235</v>
      </c>
      <c r="K41" s="12" t="s">
        <v>54</v>
      </c>
      <c r="L41" s="11"/>
      <c r="M41" s="11"/>
    </row>
    <row r="42" customFormat="false" ht="69.75" hidden="false" customHeight="true" outlineLevel="0" collapsed="false">
      <c r="A42" s="10" t="s">
        <v>236</v>
      </c>
      <c r="B42" s="10" t="s">
        <v>237</v>
      </c>
      <c r="C42" s="11" t="s">
        <v>238</v>
      </c>
      <c r="D42" s="11" t="s">
        <v>69</v>
      </c>
      <c r="E42" s="11" t="s">
        <v>70</v>
      </c>
      <c r="F42" s="11" t="s">
        <v>239</v>
      </c>
      <c r="G42" s="11" t="s">
        <v>240</v>
      </c>
      <c r="H42" s="11" t="s">
        <v>241</v>
      </c>
      <c r="I42" s="12" t="s">
        <v>52</v>
      </c>
      <c r="J42" s="11" t="s">
        <v>55</v>
      </c>
      <c r="K42" s="12" t="s">
        <v>54</v>
      </c>
      <c r="L42" s="11"/>
      <c r="M42" s="11"/>
    </row>
    <row r="43" customFormat="false" ht="69.75" hidden="false" customHeight="true" outlineLevel="0" collapsed="false">
      <c r="A43" s="10" t="s">
        <v>242</v>
      </c>
      <c r="B43" s="10" t="s">
        <v>237</v>
      </c>
      <c r="C43" s="11" t="s">
        <v>238</v>
      </c>
      <c r="D43" s="11" t="s">
        <v>80</v>
      </c>
      <c r="E43" s="11" t="s">
        <v>81</v>
      </c>
      <c r="F43" s="11" t="s">
        <v>243</v>
      </c>
      <c r="G43" s="11" t="s">
        <v>244</v>
      </c>
      <c r="H43" s="11" t="s">
        <v>245</v>
      </c>
      <c r="I43" s="12" t="s">
        <v>52</v>
      </c>
      <c r="J43" s="11" t="s">
        <v>236</v>
      </c>
      <c r="K43" s="12" t="s">
        <v>54</v>
      </c>
      <c r="L43" s="11"/>
      <c r="M43" s="11"/>
    </row>
    <row r="44" customFormat="false" ht="69.75" hidden="false" customHeight="true" outlineLevel="0" collapsed="false">
      <c r="A44" s="10" t="s">
        <v>246</v>
      </c>
      <c r="B44" s="10" t="s">
        <v>237</v>
      </c>
      <c r="C44" s="11" t="s">
        <v>238</v>
      </c>
      <c r="D44" s="11" t="s">
        <v>126</v>
      </c>
      <c r="E44" s="11" t="s">
        <v>127</v>
      </c>
      <c r="F44" s="11" t="s">
        <v>247</v>
      </c>
      <c r="G44" s="11" t="s">
        <v>248</v>
      </c>
      <c r="H44" s="11" t="s">
        <v>249</v>
      </c>
      <c r="I44" s="12" t="s">
        <v>78</v>
      </c>
      <c r="J44" s="11" t="s">
        <v>125</v>
      </c>
      <c r="K44" s="12" t="s">
        <v>54</v>
      </c>
      <c r="L44" s="11"/>
      <c r="M44" s="11"/>
    </row>
    <row r="45" customFormat="false" ht="69.75" hidden="false" customHeight="true" outlineLevel="0" collapsed="false">
      <c r="A45" s="10" t="s">
        <v>250</v>
      </c>
      <c r="B45" s="10" t="s">
        <v>237</v>
      </c>
      <c r="C45" s="11" t="s">
        <v>238</v>
      </c>
      <c r="D45" s="11" t="s">
        <v>114</v>
      </c>
      <c r="E45" s="11" t="s">
        <v>115</v>
      </c>
      <c r="F45" s="11" t="s">
        <v>251</v>
      </c>
      <c r="G45" s="11" t="s">
        <v>252</v>
      </c>
      <c r="H45" s="11" t="s">
        <v>253</v>
      </c>
      <c r="I45" s="12" t="s">
        <v>52</v>
      </c>
      <c r="J45" s="11" t="s">
        <v>120</v>
      </c>
      <c r="K45" s="12" t="s">
        <v>54</v>
      </c>
      <c r="L45" s="11"/>
      <c r="M45" s="11"/>
    </row>
    <row r="46" customFormat="false" ht="69.75" hidden="false" customHeight="true" outlineLevel="0" collapsed="false">
      <c r="A46" s="10" t="s">
        <v>254</v>
      </c>
      <c r="B46" s="10" t="s">
        <v>237</v>
      </c>
      <c r="C46" s="11" t="s">
        <v>238</v>
      </c>
      <c r="D46" s="11" t="s">
        <v>126</v>
      </c>
      <c r="E46" s="11" t="s">
        <v>127</v>
      </c>
      <c r="F46" s="11" t="s">
        <v>255</v>
      </c>
      <c r="G46" s="11" t="s">
        <v>256</v>
      </c>
      <c r="H46" s="11" t="s">
        <v>257</v>
      </c>
      <c r="I46" s="12" t="s">
        <v>78</v>
      </c>
      <c r="J46" s="11" t="s">
        <v>195</v>
      </c>
      <c r="K46" s="12" t="s">
        <v>54</v>
      </c>
      <c r="L46" s="11"/>
      <c r="M46" s="11"/>
    </row>
    <row r="47" customFormat="false" ht="69.75" hidden="false" customHeight="true" outlineLevel="0" collapsed="false">
      <c r="A47" s="10" t="s">
        <v>258</v>
      </c>
      <c r="B47" s="10" t="s">
        <v>237</v>
      </c>
      <c r="C47" s="11" t="s">
        <v>238</v>
      </c>
      <c r="D47" s="11" t="s">
        <v>69</v>
      </c>
      <c r="E47" s="11" t="s">
        <v>70</v>
      </c>
      <c r="F47" s="11" t="s">
        <v>259</v>
      </c>
      <c r="G47" s="11" t="s">
        <v>260</v>
      </c>
      <c r="H47" s="11" t="s">
        <v>261</v>
      </c>
      <c r="I47" s="12" t="s">
        <v>78</v>
      </c>
      <c r="J47" s="11" t="s">
        <v>209</v>
      </c>
      <c r="K47" s="12" t="s">
        <v>54</v>
      </c>
      <c r="L47" s="11"/>
      <c r="M47" s="11"/>
    </row>
    <row r="48" customFormat="false" ht="69.75" hidden="false" customHeight="true" outlineLevel="0" collapsed="false">
      <c r="A48" s="10" t="s">
        <v>262</v>
      </c>
      <c r="B48" s="10" t="s">
        <v>237</v>
      </c>
      <c r="C48" s="11" t="s">
        <v>238</v>
      </c>
      <c r="D48" s="11" t="s">
        <v>114</v>
      </c>
      <c r="E48" s="11" t="s">
        <v>115</v>
      </c>
      <c r="F48" s="11" t="s">
        <v>263</v>
      </c>
      <c r="G48" s="11" t="s">
        <v>264</v>
      </c>
      <c r="H48" s="11" t="s">
        <v>265</v>
      </c>
      <c r="I48" s="12" t="s">
        <v>63</v>
      </c>
      <c r="J48" s="11" t="s">
        <v>266</v>
      </c>
      <c r="K48" s="12" t="s">
        <v>54</v>
      </c>
      <c r="L48" s="11"/>
      <c r="M48" s="11"/>
    </row>
  </sheetData>
  <autoFilter ref="A3:M48"/>
  <conditionalFormatting sqref="B4:B48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K4:K48">
    <cfRule type="cellIs" priority="6" operator="equal" aboveAverage="0" equalAverage="0" bottom="0" percent="0" rank="0" text="" dxfId="13">
      <formula>"Backlog"</formula>
    </cfRule>
    <cfRule type="cellIs" priority="7" operator="equal" aboveAverage="0" equalAverage="0" bottom="0" percent="0" rank="0" text="" dxfId="10">
      <formula>"In Progress"</formula>
    </cfRule>
    <cfRule type="cellIs" priority="8" operator="equal" aboveAverage="0" equalAverage="0" bottom="0" percent="0" rank="0" text="" dxfId="11">
      <formula>"In Review"</formula>
    </cfRule>
    <cfRule type="cellIs" priority="9" operator="equal" aboveAverage="0" equalAverage="0" bottom="0" percent="0" rank="0" text="" dxfId="14">
      <formula>"Done"</formula>
    </cfRule>
    <cfRule type="cellIs" priority="10" operator="equal" aboveAverage="0" equalAverage="0" bottom="0" percent="0" rank="0" text="" dxfId="9">
      <formula>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5"/>
    <col collapsed="false" customWidth="true" hidden="false" outlineLevel="0" max="5" min="5" style="0" width="55"/>
  </cols>
  <sheetData>
    <row r="1" customFormat="false" ht="31.5" hidden="false" customHeight="true" outlineLevel="0" collapsed="false">
      <c r="A1" s="8" t="s">
        <v>267</v>
      </c>
    </row>
    <row r="3" customFormat="false" ht="31.5" hidden="false" customHeight="true" outlineLevel="0" collapsed="false">
      <c r="A3" s="9" t="s">
        <v>33</v>
      </c>
      <c r="B3" s="9" t="s">
        <v>268</v>
      </c>
      <c r="C3" s="9" t="s">
        <v>269</v>
      </c>
      <c r="D3" s="9" t="s">
        <v>270</v>
      </c>
      <c r="E3" s="9" t="s">
        <v>271</v>
      </c>
    </row>
    <row r="4" customFormat="false" ht="105" hidden="false" customHeight="true" outlineLevel="0" collapsed="false">
      <c r="A4" s="13" t="s">
        <v>46</v>
      </c>
      <c r="B4" s="14" t="s">
        <v>272</v>
      </c>
      <c r="C4" s="15" t="n">
        <f aca="false">COUNTIF(BACKLOG!C:C,"1 - Foundation")</f>
        <v>9</v>
      </c>
      <c r="D4" s="16" t="s">
        <v>273</v>
      </c>
      <c r="E4" s="16" t="s">
        <v>274</v>
      </c>
    </row>
    <row r="5" customFormat="false" ht="105" hidden="false" customHeight="true" outlineLevel="0" collapsed="false">
      <c r="A5" s="13" t="s">
        <v>95</v>
      </c>
      <c r="B5" s="14" t="s">
        <v>275</v>
      </c>
      <c r="C5" s="15" t="n">
        <f aca="false">COUNTIF(BACKLOG!C:C,"2 - Pilot")</f>
        <v>7</v>
      </c>
      <c r="D5" s="16" t="s">
        <v>276</v>
      </c>
      <c r="E5" s="16" t="s">
        <v>277</v>
      </c>
    </row>
    <row r="6" customFormat="false" ht="105" hidden="false" customHeight="true" outlineLevel="0" collapsed="false">
      <c r="A6" s="13" t="s">
        <v>137</v>
      </c>
      <c r="B6" s="14" t="s">
        <v>278</v>
      </c>
      <c r="C6" s="15" t="n">
        <f aca="false">COUNTIF(BACKLOG!C:C,"3 - Scale")</f>
        <v>10</v>
      </c>
      <c r="D6" s="16" t="s">
        <v>279</v>
      </c>
      <c r="E6" s="16" t="s">
        <v>280</v>
      </c>
    </row>
    <row r="7" customFormat="false" ht="105" hidden="false" customHeight="true" outlineLevel="0" collapsed="false">
      <c r="A7" s="13" t="s">
        <v>182</v>
      </c>
      <c r="B7" s="14" t="s">
        <v>281</v>
      </c>
      <c r="C7" s="15" t="n">
        <f aca="false">COUNTIF(BACKLOG!C:C,"4 - Harden")</f>
        <v>12</v>
      </c>
      <c r="D7" s="16" t="s">
        <v>282</v>
      </c>
      <c r="E7" s="16" t="s">
        <v>283</v>
      </c>
    </row>
    <row r="8" customFormat="false" ht="105" hidden="false" customHeight="true" outlineLevel="0" collapsed="false">
      <c r="A8" s="13" t="s">
        <v>238</v>
      </c>
      <c r="B8" s="14" t="s">
        <v>284</v>
      </c>
      <c r="C8" s="15" t="n">
        <f aca="false">COUNTIF(BACKLOG!C:C,"5 - Expansion")</f>
        <v>7</v>
      </c>
      <c r="D8" s="16" t="s">
        <v>285</v>
      </c>
      <c r="E8" s="16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8" t="s">
        <v>287</v>
      </c>
    </row>
    <row r="3" customFormat="false" ht="31.5" hidden="false" customHeight="true" outlineLevel="0" collapsed="false">
      <c r="A3" s="9" t="s">
        <v>34</v>
      </c>
      <c r="B3" s="9" t="s">
        <v>269</v>
      </c>
      <c r="C3" s="9" t="s">
        <v>288</v>
      </c>
      <c r="D3" s="9" t="s">
        <v>289</v>
      </c>
    </row>
    <row r="4" customFormat="false" ht="129.75" hidden="false" customHeight="true" outlineLevel="0" collapsed="false">
      <c r="A4" s="13" t="s">
        <v>69</v>
      </c>
      <c r="B4" s="17" t="n">
        <f aca="false">COUNTIF(BACKLOG!D:D,"L1 - Data Collection")</f>
        <v>10</v>
      </c>
      <c r="C4" s="16" t="s">
        <v>290</v>
      </c>
      <c r="D4" s="16" t="s">
        <v>291</v>
      </c>
    </row>
    <row r="5" customFormat="false" ht="129.75" hidden="false" customHeight="true" outlineLevel="0" collapsed="false">
      <c r="A5" s="13" t="s">
        <v>80</v>
      </c>
      <c r="B5" s="17" t="n">
        <f aca="false">COUNTIF(BACKLOG!D:D,"L2 - Data Lake")</f>
        <v>6</v>
      </c>
      <c r="C5" s="16" t="s">
        <v>292</v>
      </c>
      <c r="D5" s="16" t="s">
        <v>293</v>
      </c>
    </row>
    <row r="6" customFormat="false" ht="129.75" hidden="false" customHeight="true" outlineLevel="0" collapsed="false">
      <c r="A6" s="13" t="s">
        <v>96</v>
      </c>
      <c r="B6" s="17" t="n">
        <f aca="false">COUNTIF(BACKLOG!D:D,"L3 - Analytics Engine")</f>
        <v>8</v>
      </c>
      <c r="C6" s="16" t="s">
        <v>294</v>
      </c>
      <c r="D6" s="16" t="s">
        <v>295</v>
      </c>
    </row>
    <row r="7" customFormat="false" ht="129.75" hidden="false" customHeight="true" outlineLevel="0" collapsed="false">
      <c r="A7" s="13" t="s">
        <v>114</v>
      </c>
      <c r="B7" s="17" t="n">
        <f aca="false">COUNTIF(BACKLOG!D:D,"L4 - AI/ML Models")</f>
        <v>9</v>
      </c>
      <c r="C7" s="16" t="s">
        <v>296</v>
      </c>
      <c r="D7" s="16" t="s">
        <v>297</v>
      </c>
    </row>
    <row r="8" customFormat="false" ht="129.75" hidden="false" customHeight="true" outlineLevel="0" collapsed="false">
      <c r="A8" s="13" t="s">
        <v>126</v>
      </c>
      <c r="B8" s="17" t="n">
        <f aca="false">COUNTIF(BACKLOG!D:D,"L5 - Business Intelligence")</f>
        <v>6</v>
      </c>
      <c r="C8" s="16" t="s">
        <v>298</v>
      </c>
      <c r="D8" s="16" t="s">
        <v>299</v>
      </c>
    </row>
    <row r="9" customFormat="false" ht="129.75" hidden="false" customHeight="true" outlineLevel="0" collapsed="false">
      <c r="A9" s="13" t="s">
        <v>47</v>
      </c>
      <c r="B9" s="17" t="n">
        <f aca="false">COUNTIF(BACKLOG!D:D,"X - Cross-Cutting")</f>
        <v>6</v>
      </c>
      <c r="C9" s="16" t="s">
        <v>300</v>
      </c>
      <c r="D9" s="16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28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8" t="s">
        <v>302</v>
      </c>
    </row>
    <row r="3" customFormat="false" ht="27.75" hidden="false" customHeight="true" outlineLevel="0" collapsed="false">
      <c r="A3" s="18" t="s">
        <v>303</v>
      </c>
      <c r="B3" s="18"/>
      <c r="D3" s="18" t="s">
        <v>304</v>
      </c>
      <c r="E3" s="18"/>
      <c r="G3" s="18" t="s">
        <v>305</v>
      </c>
      <c r="H3" s="18"/>
    </row>
    <row r="4" customFormat="false" ht="21.75" hidden="false" customHeight="true" outlineLevel="0" collapsed="false">
      <c r="A4" s="19" t="s">
        <v>306</v>
      </c>
      <c r="B4" s="20" t="n">
        <f aca="false">COUNTIF(BACKLOG!B:B,"P0")</f>
        <v>12</v>
      </c>
      <c r="D4" s="19" t="s">
        <v>46</v>
      </c>
      <c r="E4" s="20" t="n">
        <f aca="false">COUNTIF(BACKLOG!C:C,"1 - Foundation")</f>
        <v>9</v>
      </c>
      <c r="G4" s="19" t="s">
        <v>69</v>
      </c>
      <c r="H4" s="20" t="n">
        <f aca="false">COUNTIF(BACKLOG!D:D,"L1 - Data Collection")</f>
        <v>10</v>
      </c>
    </row>
    <row r="5" customFormat="false" ht="21.75" hidden="false" customHeight="true" outlineLevel="0" collapsed="false">
      <c r="A5" s="19" t="s">
        <v>307</v>
      </c>
      <c r="B5" s="20" t="n">
        <f aca="false">COUNTIF(BACKLOG!B:B,"P1")</f>
        <v>14</v>
      </c>
      <c r="D5" s="19" t="s">
        <v>95</v>
      </c>
      <c r="E5" s="20" t="n">
        <f aca="false">COUNTIF(BACKLOG!C:C,"2 - Pilot")</f>
        <v>7</v>
      </c>
      <c r="G5" s="19" t="s">
        <v>80</v>
      </c>
      <c r="H5" s="20" t="n">
        <f aca="false">COUNTIF(BACKLOG!D:D,"L2 - Data Lake")</f>
        <v>6</v>
      </c>
    </row>
    <row r="6" customFormat="false" ht="21.75" hidden="false" customHeight="true" outlineLevel="0" collapsed="false">
      <c r="A6" s="19" t="s">
        <v>308</v>
      </c>
      <c r="B6" s="20" t="n">
        <f aca="false">COUNTIF(BACKLOG!B:B,"P2")</f>
        <v>12</v>
      </c>
      <c r="D6" s="19" t="s">
        <v>137</v>
      </c>
      <c r="E6" s="20" t="n">
        <f aca="false">COUNTIF(BACKLOG!C:C,"3 - Scale")</f>
        <v>10</v>
      </c>
      <c r="G6" s="19" t="s">
        <v>96</v>
      </c>
      <c r="H6" s="20" t="n">
        <f aca="false">COUNTIF(BACKLOG!D:D,"L3 - Analytics Engine")</f>
        <v>8</v>
      </c>
    </row>
    <row r="7" customFormat="false" ht="21.75" hidden="false" customHeight="true" outlineLevel="0" collapsed="false">
      <c r="A7" s="19" t="s">
        <v>309</v>
      </c>
      <c r="B7" s="20" t="n">
        <f aca="false">COUNTIF(BACKLOG!B:B,"P3")</f>
        <v>7</v>
      </c>
      <c r="D7" s="19" t="s">
        <v>182</v>
      </c>
      <c r="E7" s="20" t="n">
        <f aca="false">COUNTIF(BACKLOG!C:C,"4 - Harden")</f>
        <v>12</v>
      </c>
      <c r="G7" s="19" t="s">
        <v>114</v>
      </c>
      <c r="H7" s="20" t="n">
        <f aca="false">COUNTIF(BACKLOG!D:D,"L4 - AI/ML Models")</f>
        <v>9</v>
      </c>
    </row>
    <row r="8" customFormat="false" ht="21.75" hidden="false" customHeight="true" outlineLevel="0" collapsed="false">
      <c r="A8" s="19" t="s">
        <v>310</v>
      </c>
      <c r="B8" s="20" t="n">
        <f aca="false">COUNTA(BACKLOG!A4:A100)</f>
        <v>45</v>
      </c>
      <c r="D8" s="19" t="s">
        <v>238</v>
      </c>
      <c r="E8" s="20" t="n">
        <f aca="false">COUNTIF(BACKLOG!C:C,"5 - Expansion")</f>
        <v>7</v>
      </c>
      <c r="G8" s="19" t="s">
        <v>311</v>
      </c>
      <c r="H8" s="20" t="n">
        <f aca="false">COUNTIF(BACKLOG!D:D,"L5 - Business Intelligence")</f>
        <v>6</v>
      </c>
    </row>
    <row r="9" customFormat="false" ht="21.75" hidden="false" customHeight="true" outlineLevel="0" collapsed="false">
      <c r="G9" s="19" t="s">
        <v>47</v>
      </c>
      <c r="H9" s="20" t="n">
        <f aca="false">COUNTIF(BACKLOG!D:D,"X - Cross-Cutting")</f>
        <v>6</v>
      </c>
    </row>
    <row r="11" customFormat="false" ht="27.75" hidden="false" customHeight="true" outlineLevel="0" collapsed="false">
      <c r="A11" s="18" t="s">
        <v>312</v>
      </c>
      <c r="B11" s="18"/>
      <c r="D11" s="18" t="s">
        <v>313</v>
      </c>
      <c r="E11" s="18"/>
      <c r="G11" s="18" t="s">
        <v>314</v>
      </c>
      <c r="H11" s="18"/>
    </row>
    <row r="12" customFormat="false" ht="21.75" hidden="false" customHeight="true" outlineLevel="0" collapsed="false">
      <c r="A12" s="19" t="s">
        <v>315</v>
      </c>
      <c r="B12" s="20" t="n">
        <f aca="false">COUNTIF(BACKLOG!I:I,"S")</f>
        <v>0</v>
      </c>
      <c r="D12" s="19" t="s">
        <v>70</v>
      </c>
      <c r="E12" s="20" t="n">
        <f aca="false">COUNTIF(BACKLOG!E:E,"Connectors")</f>
        <v>10</v>
      </c>
      <c r="G12" s="19" t="s">
        <v>54</v>
      </c>
      <c r="H12" s="20" t="n">
        <f aca="false">COUNTIF(BACKLOG!K:K,"Backlog")</f>
        <v>45</v>
      </c>
    </row>
    <row r="13" customFormat="false" ht="21.75" hidden="false" customHeight="true" outlineLevel="0" collapsed="false">
      <c r="A13" s="19" t="s">
        <v>316</v>
      </c>
      <c r="B13" s="20" t="n">
        <f aca="false">COUNTIF(BACKLOG!I:I,"M")</f>
        <v>16</v>
      </c>
      <c r="D13" s="19" t="s">
        <v>81</v>
      </c>
      <c r="E13" s="20" t="n">
        <f aca="false">COUNTIF(BACKLOG!E:E,"Data Platform")</f>
        <v>7</v>
      </c>
      <c r="G13" s="19" t="s">
        <v>317</v>
      </c>
      <c r="H13" s="20" t="n">
        <f aca="false">COUNTIF(BACKLOG!K:K,"In Progress")</f>
        <v>0</v>
      </c>
    </row>
    <row r="14" customFormat="false" ht="21.75" hidden="false" customHeight="true" outlineLevel="0" collapsed="false">
      <c r="A14" s="19" t="s">
        <v>318</v>
      </c>
      <c r="B14" s="20" t="n">
        <f aca="false">COUNTIF(BACKLOG!I:I,"L")</f>
        <v>26</v>
      </c>
      <c r="D14" s="19" t="s">
        <v>97</v>
      </c>
      <c r="E14" s="20" t="n">
        <f aca="false">COUNTIF(BACKLOG!E:E,"Analytics")</f>
        <v>8</v>
      </c>
      <c r="G14" s="19" t="s">
        <v>319</v>
      </c>
      <c r="H14" s="20" t="n">
        <f aca="false">COUNTIF(BACKLOG!K:K,"In Review")</f>
        <v>0</v>
      </c>
    </row>
    <row r="15" customFormat="false" ht="21.75" hidden="false" customHeight="true" outlineLevel="0" collapsed="false">
      <c r="A15" s="19" t="s">
        <v>320</v>
      </c>
      <c r="B15" s="20" t="n">
        <f aca="false">COUNTIF(BACKLOG!I:I,"XL")</f>
        <v>3</v>
      </c>
      <c r="D15" s="19" t="s">
        <v>115</v>
      </c>
      <c r="E15" s="20" t="n">
        <f aca="false">COUNTIF(BACKLOG!E:E,"ML Models")</f>
        <v>9</v>
      </c>
      <c r="G15" s="19" t="s">
        <v>321</v>
      </c>
      <c r="H15" s="20" t="n">
        <f aca="false">COUNTIF(BACKLOG!K:K,"Done")</f>
        <v>0</v>
      </c>
    </row>
    <row r="16" customFormat="false" ht="21.75" hidden="false" customHeight="true" outlineLevel="0" collapsed="false">
      <c r="D16" s="19" t="s">
        <v>127</v>
      </c>
      <c r="E16" s="20" t="n">
        <f aca="false">COUNTIF(BACKLOG!E:E,"UX")</f>
        <v>6</v>
      </c>
      <c r="G16" s="19" t="s">
        <v>322</v>
      </c>
      <c r="H16" s="20" t="n">
        <f aca="false">COUNTIF(BACKLOG!K:K,"Blocked")</f>
        <v>0</v>
      </c>
    </row>
    <row r="17" customFormat="false" ht="21.75" hidden="false" customHeight="true" outlineLevel="0" collapsed="false">
      <c r="D17" s="19" t="s">
        <v>48</v>
      </c>
      <c r="E17" s="20" t="n">
        <f aca="false">COUNTIF(BACKLOG!E:E,"Platform/Infra")</f>
        <v>5</v>
      </c>
      <c r="G17" s="19" t="s">
        <v>323</v>
      </c>
      <c r="H17" s="20" t="str">
        <f aca="false">ROUND(COUNTIF(BACKLOG!K:K,"Done")/COUNTA(BACKLOG!A4:A100)*100,0) &amp; "%"</f>
        <v>0%</v>
      </c>
    </row>
    <row r="20" customFormat="false" ht="27.75" hidden="false" customHeight="true" outlineLevel="0" collapsed="false">
      <c r="A20" s="21" t="s">
        <v>324</v>
      </c>
      <c r="B20" s="21"/>
      <c r="C20" s="21"/>
      <c r="D20" s="21"/>
      <c r="E20" s="21"/>
      <c r="F20" s="21"/>
      <c r="G20" s="21"/>
      <c r="H20" s="21"/>
    </row>
    <row r="21" customFormat="false" ht="21.75" hidden="false" customHeight="true" outlineLevel="0" collapsed="false">
      <c r="A21" s="22" t="s">
        <v>44</v>
      </c>
      <c r="B21" s="23" t="s">
        <v>49</v>
      </c>
      <c r="C21" s="23"/>
      <c r="D21" s="23"/>
      <c r="E21" s="23"/>
      <c r="F21" s="24" t="s">
        <v>52</v>
      </c>
      <c r="G21" s="25" t="s">
        <v>53</v>
      </c>
      <c r="H21" s="25"/>
    </row>
    <row r="22" customFormat="false" ht="21.75" hidden="false" customHeight="true" outlineLevel="0" collapsed="false">
      <c r="A22" s="22" t="s">
        <v>55</v>
      </c>
      <c r="B22" s="23" t="s">
        <v>56</v>
      </c>
      <c r="C22" s="23"/>
      <c r="D22" s="23"/>
      <c r="E22" s="23"/>
      <c r="F22" s="24" t="s">
        <v>52</v>
      </c>
      <c r="G22" s="25" t="s">
        <v>44</v>
      </c>
      <c r="H22" s="25"/>
    </row>
    <row r="23" customFormat="false" ht="21.75" hidden="false" customHeight="true" outlineLevel="0" collapsed="false">
      <c r="A23" s="22" t="s">
        <v>59</v>
      </c>
      <c r="B23" s="23" t="s">
        <v>60</v>
      </c>
      <c r="C23" s="23"/>
      <c r="D23" s="23"/>
      <c r="E23" s="23"/>
      <c r="F23" s="24" t="s">
        <v>63</v>
      </c>
      <c r="G23" s="25" t="s">
        <v>55</v>
      </c>
      <c r="H23" s="25"/>
    </row>
    <row r="24" customFormat="false" ht="21.75" hidden="false" customHeight="true" outlineLevel="0" collapsed="false">
      <c r="A24" s="22" t="s">
        <v>64</v>
      </c>
      <c r="B24" s="23" t="s">
        <v>65</v>
      </c>
      <c r="C24" s="23"/>
      <c r="D24" s="23"/>
      <c r="E24" s="23"/>
      <c r="F24" s="24" t="s">
        <v>52</v>
      </c>
      <c r="G24" s="25" t="s">
        <v>55</v>
      </c>
      <c r="H24" s="25"/>
    </row>
    <row r="25" customFormat="false" ht="21.75" hidden="false" customHeight="true" outlineLevel="0" collapsed="false">
      <c r="A25" s="22" t="s">
        <v>68</v>
      </c>
      <c r="B25" s="23" t="s">
        <v>71</v>
      </c>
      <c r="C25" s="23"/>
      <c r="D25" s="23"/>
      <c r="E25" s="23"/>
      <c r="F25" s="24" t="s">
        <v>52</v>
      </c>
      <c r="G25" s="25" t="s">
        <v>59</v>
      </c>
      <c r="H25" s="25"/>
    </row>
    <row r="26" customFormat="false" ht="21.75" hidden="false" customHeight="true" outlineLevel="0" collapsed="false">
      <c r="A26" s="22" t="s">
        <v>74</v>
      </c>
      <c r="B26" s="23" t="s">
        <v>75</v>
      </c>
      <c r="C26" s="23"/>
      <c r="D26" s="23"/>
      <c r="E26" s="23"/>
      <c r="F26" s="24" t="s">
        <v>78</v>
      </c>
      <c r="G26" s="25" t="s">
        <v>44</v>
      </c>
      <c r="H26" s="25"/>
    </row>
    <row r="27" customFormat="false" ht="21.75" hidden="false" customHeight="true" outlineLevel="0" collapsed="false">
      <c r="A27" s="22" t="s">
        <v>79</v>
      </c>
      <c r="B27" s="23" t="s">
        <v>82</v>
      </c>
      <c r="C27" s="23"/>
      <c r="D27" s="23"/>
      <c r="E27" s="23"/>
      <c r="F27" s="24" t="s">
        <v>52</v>
      </c>
      <c r="G27" s="25" t="s">
        <v>44</v>
      </c>
      <c r="H27" s="25"/>
    </row>
    <row r="28" customFormat="false" ht="21.75" hidden="false" customHeight="true" outlineLevel="0" collapsed="false">
      <c r="A28" s="22" t="s">
        <v>85</v>
      </c>
      <c r="B28" s="23" t="s">
        <v>86</v>
      </c>
      <c r="C28" s="23"/>
      <c r="D28" s="23"/>
      <c r="E28" s="23"/>
      <c r="F28" s="24" t="s">
        <v>52</v>
      </c>
      <c r="G28" s="25" t="s">
        <v>59</v>
      </c>
      <c r="H28" s="25"/>
    </row>
    <row r="29" customFormat="false" ht="21.75" hidden="false" customHeight="true" outlineLevel="0" collapsed="false">
      <c r="A29" s="22" t="s">
        <v>89</v>
      </c>
      <c r="B29" s="23" t="s">
        <v>90</v>
      </c>
      <c r="C29" s="23"/>
      <c r="D29" s="23"/>
      <c r="E29" s="23"/>
      <c r="F29" s="24" t="s">
        <v>52</v>
      </c>
      <c r="G29" s="25" t="s">
        <v>93</v>
      </c>
      <c r="H29" s="25"/>
    </row>
  </sheetData>
  <mergeCells count="25">
    <mergeCell ref="A3:B3"/>
    <mergeCell ref="D3:E3"/>
    <mergeCell ref="G3:H3"/>
    <mergeCell ref="A11:B11"/>
    <mergeCell ref="D11:E11"/>
    <mergeCell ref="G11:H11"/>
    <mergeCell ref="A20:H20"/>
    <mergeCell ref="B21:E21"/>
    <mergeCell ref="G21:H21"/>
    <mergeCell ref="B22:E22"/>
    <mergeCell ref="G22:H22"/>
    <mergeCell ref="B23:E23"/>
    <mergeCell ref="G23:H23"/>
    <mergeCell ref="B24:E24"/>
    <mergeCell ref="G24:H24"/>
    <mergeCell ref="B25:E25"/>
    <mergeCell ref="G25:H25"/>
    <mergeCell ref="B26:E26"/>
    <mergeCell ref="G26:H26"/>
    <mergeCell ref="B27:E27"/>
    <mergeCell ref="G27:H27"/>
    <mergeCell ref="B28:E28"/>
    <mergeCell ref="G28:H28"/>
    <mergeCell ref="B29:E29"/>
    <mergeCell ref="G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2026-05-29T20:28:12Z</dcterms:created>
  <dc:creator>openpyxl</dc:creator>
  <dc:description/>
  <dc:language>en-US</dc:language>
  <cp:lastModifiedBy/>
  <dcterms:modified xsi:type="dcterms:W3CDTF">2026-05-29T20:28:12Z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